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ython\grid_MOO\data\supporting_data\"/>
    </mc:Choice>
  </mc:AlternateContent>
  <bookViews>
    <workbookView xWindow="0" yWindow="0" windowWidth="28800" windowHeight="1290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" i="1"/>
  <c r="Q2" i="1" l="1"/>
</calcChain>
</file>

<file path=xl/sharedStrings.xml><?xml version="1.0" encoding="utf-8"?>
<sst xmlns="http://schemas.openxmlformats.org/spreadsheetml/2006/main" count="1015" uniqueCount="423">
  <si>
    <t>ID</t>
  </si>
  <si>
    <t>Generator Name</t>
  </si>
  <si>
    <t>Country</t>
  </si>
  <si>
    <t>IC (kW)</t>
  </si>
  <si>
    <t>Technology</t>
  </si>
  <si>
    <t>Subsidy</t>
  </si>
  <si>
    <t>Accreditation</t>
  </si>
  <si>
    <t>Commissioned</t>
  </si>
  <si>
    <t>RLF</t>
  </si>
  <si>
    <t>ALF</t>
  </si>
  <si>
    <t>LatestData</t>
  </si>
  <si>
    <t>Latest MWh p.a.</t>
  </si>
  <si>
    <t>Latest ROCs p.a.</t>
  </si>
  <si>
    <t>R00089SQSC</t>
  </si>
  <si>
    <t>Whitelee Windfarm</t>
  </si>
  <si>
    <t>Scotland</t>
  </si>
  <si>
    <t>On-shore wind</t>
  </si>
  <si>
    <t>RO</t>
  </si>
  <si>
    <t>R00316SQSC</t>
  </si>
  <si>
    <t>Kilgallioch</t>
  </si>
  <si>
    <t>T_SOKYW</t>
  </si>
  <si>
    <t>South Kyle</t>
  </si>
  <si>
    <t>None</t>
  </si>
  <si>
    <t>R00210RQWA</t>
  </si>
  <si>
    <t>Pen y Cymoedd Wind Farm</t>
  </si>
  <si>
    <t>Wales</t>
  </si>
  <si>
    <t>R00332SQSC</t>
  </si>
  <si>
    <t>Stronelairg Wind Farm</t>
  </si>
  <si>
    <t>R00169SQSC</t>
  </si>
  <si>
    <t>Whitelee Windfarm Extension</t>
  </si>
  <si>
    <t>R00187SQSC</t>
  </si>
  <si>
    <t>Clyde Windfarm (North)</t>
  </si>
  <si>
    <t>R00173SQSC</t>
  </si>
  <si>
    <t>Clyde Windfarm (Central)</t>
  </si>
  <si>
    <t>R00160SQSC</t>
  </si>
  <si>
    <t>Griffin &amp; Calliachar Wind Farm</t>
  </si>
  <si>
    <t>DOR</t>
  </si>
  <si>
    <t>Dorenell Wind Farm</t>
  </si>
  <si>
    <t>CfD</t>
  </si>
  <si>
    <t>R00161SQSC</t>
  </si>
  <si>
    <t>Fallago Rig</t>
  </si>
  <si>
    <t>R00224SQSC</t>
  </si>
  <si>
    <t>Harestanes Windfarm</t>
  </si>
  <si>
    <t>R00103SQSC</t>
  </si>
  <si>
    <t>Crystal Rig II Wind Farm</t>
  </si>
  <si>
    <t>R00165SQSC</t>
  </si>
  <si>
    <t>Clyde Windfarm (South)</t>
  </si>
  <si>
    <t>R00060SQSC</t>
  </si>
  <si>
    <t>Black Law Windfarm - A,C</t>
  </si>
  <si>
    <t>R00150SQSC</t>
  </si>
  <si>
    <t>Arecleoch</t>
  </si>
  <si>
    <t>R00063SQSC</t>
  </si>
  <si>
    <t>Hadyard Hill Windfarm - A,C</t>
  </si>
  <si>
    <t>R00321SQSC</t>
  </si>
  <si>
    <t>Bhlaraidh Wind Farm</t>
  </si>
  <si>
    <t>R00262SQSC</t>
  </si>
  <si>
    <t>Beinneun Wind Farm</t>
  </si>
  <si>
    <t>CLO</t>
  </si>
  <si>
    <t>Clocaenog Forest Wind Farm</t>
  </si>
  <si>
    <t>R00312SQSC</t>
  </si>
  <si>
    <t>Dunmaglass Wind Farm</t>
  </si>
  <si>
    <t>T_CREAW</t>
  </si>
  <si>
    <t>Creag Riabhach Wind Farm Ltd</t>
  </si>
  <si>
    <t>R00062SQSC</t>
  </si>
  <si>
    <t>Farr Wind farm ltd - A</t>
  </si>
  <si>
    <t>BKM</t>
  </si>
  <si>
    <t>Kype Muir Wind Farm</t>
  </si>
  <si>
    <t>T_SAKNW</t>
  </si>
  <si>
    <t>Sandy Knowe Wind Farm Ltd</t>
  </si>
  <si>
    <t>T_AKGLW</t>
  </si>
  <si>
    <t>Aikengall IIA</t>
  </si>
  <si>
    <t>R00212SQSC</t>
  </si>
  <si>
    <t>Mid Hill Wind Farm</t>
  </si>
  <si>
    <t>R00308SQSC</t>
  </si>
  <si>
    <t>Dersalloch</t>
  </si>
  <si>
    <t>R00097NQNI</t>
  </si>
  <si>
    <t>Slieve Kirk Windfarm</t>
  </si>
  <si>
    <t>NI</t>
  </si>
  <si>
    <t>R00074SQSC</t>
  </si>
  <si>
    <t>Braes of Doune Windfarm (Scotland) Ltd - A</t>
  </si>
  <si>
    <t>R00170SQSC</t>
  </si>
  <si>
    <t>Gordonbush Wind Farm</t>
  </si>
  <si>
    <t>R00285SQSC</t>
  </si>
  <si>
    <t>Corriegarth Wind Energy Centre</t>
  </si>
  <si>
    <t>R00163SQSC</t>
  </si>
  <si>
    <t>Lochluichart Windfarm</t>
  </si>
  <si>
    <t>R00313RQEN</t>
  </si>
  <si>
    <t>Keadby Wind Farm</t>
  </si>
  <si>
    <t>England</t>
  </si>
  <si>
    <t>R00264SQSC</t>
  </si>
  <si>
    <t>Strathy North</t>
  </si>
  <si>
    <t>R00093SQSC</t>
  </si>
  <si>
    <t>Kilbraur Wind Farm</t>
  </si>
  <si>
    <t>T_KYPEW</t>
  </si>
  <si>
    <t>Kype Muir Extension</t>
  </si>
  <si>
    <t>R00237SQSC</t>
  </si>
  <si>
    <t>Berry Burn Wind Farm</t>
  </si>
  <si>
    <t>R00236RQEN</t>
  </si>
  <si>
    <t>Fullabrook Wind Farm</t>
  </si>
  <si>
    <t>R00296SQSC</t>
  </si>
  <si>
    <t>BLACK LAW EXTENSION</t>
  </si>
  <si>
    <t>R00079SQSC</t>
  </si>
  <si>
    <t>Millennium Wind Farm - A</t>
  </si>
  <si>
    <t>R00200RQEN</t>
  </si>
  <si>
    <t>Scout Moor Wind Farm</t>
  </si>
  <si>
    <t>R00066SQSC</t>
  </si>
  <si>
    <t>Pauls Hill Wind Farm - A,C,E</t>
  </si>
  <si>
    <t>R00049SQSC</t>
  </si>
  <si>
    <t>Crystal Rig Windfarm - A,E</t>
  </si>
  <si>
    <t>T_KENNW</t>
  </si>
  <si>
    <t>Kennoxhead</t>
  </si>
  <si>
    <t>R00299SQSC</t>
  </si>
  <si>
    <t>Windy Standard II (Brockloch Rig)</t>
  </si>
  <si>
    <t>R00251SQSC</t>
  </si>
  <si>
    <t>Aikengall II Windfarm</t>
  </si>
  <si>
    <t>R00243SQSC</t>
  </si>
  <si>
    <t>Moy Wind Farm</t>
  </si>
  <si>
    <t>R00201RQEN</t>
  </si>
  <si>
    <t>Little Cheyne Court Wind Farm</t>
  </si>
  <si>
    <t>R00218RQWA</t>
  </si>
  <si>
    <t>Brechfa Forest West Wind Farm</t>
  </si>
  <si>
    <t>R00148SQSC</t>
  </si>
  <si>
    <t>Mark Hill Windfarm</t>
  </si>
  <si>
    <t>R00240SQSC</t>
  </si>
  <si>
    <t>Galawhistle Windfarm Limited</t>
  </si>
  <si>
    <t>R00374RQEN</t>
  </si>
  <si>
    <t>Ray Wind Farm</t>
  </si>
  <si>
    <t>R00027NQNI</t>
  </si>
  <si>
    <t>Slieve Rushen Phase II - A (23/10/2007)</t>
  </si>
  <si>
    <t>R00308RQEN</t>
  </si>
  <si>
    <t>Middlemoor Wind Farm</t>
  </si>
  <si>
    <t>R00281SQSC</t>
  </si>
  <si>
    <t>Blackcraig Wind Farm</t>
  </si>
  <si>
    <t>R00186SQSC</t>
  </si>
  <si>
    <t>Baillie Wind farm</t>
  </si>
  <si>
    <t>R00329SQSC</t>
  </si>
  <si>
    <t>AFTON WIND FARM</t>
  </si>
  <si>
    <t>R00272SQSC</t>
  </si>
  <si>
    <t>Harburnhead Windfarm</t>
  </si>
  <si>
    <t>R00357RQEN</t>
  </si>
  <si>
    <t>Frodsham Wind Farm</t>
  </si>
  <si>
    <t>BMM</t>
  </si>
  <si>
    <t>Middle Muir Wind Farm</t>
  </si>
  <si>
    <t>R00055SQSC</t>
  </si>
  <si>
    <t>Rothes Wind Ltd - A, C, E</t>
  </si>
  <si>
    <t>T_GLNKW</t>
  </si>
  <si>
    <t>Glen Kyllachy Wind Farm</t>
  </si>
  <si>
    <t>R00205SQSC</t>
  </si>
  <si>
    <t>Camster Wind Farm</t>
  </si>
  <si>
    <t>E_BTUIW</t>
  </si>
  <si>
    <t>Beinn an Tuirc 3</t>
  </si>
  <si>
    <t>R01223NQNI</t>
  </si>
  <si>
    <t>Brockaghboy Full</t>
  </si>
  <si>
    <t>R00284SQSC</t>
  </si>
  <si>
    <t>Corriemoillie Windfarm</t>
  </si>
  <si>
    <t>T_CRDEW</t>
  </si>
  <si>
    <t>Crossdykes Wind Farm</t>
  </si>
  <si>
    <t>R00176SQSC</t>
  </si>
  <si>
    <t>Hill of Towie Wind Farm</t>
  </si>
  <si>
    <t>R00111SQSC</t>
  </si>
  <si>
    <t>Causeymire Wind Farm</t>
  </si>
  <si>
    <t>R00095SQSC</t>
  </si>
  <si>
    <t>Aikengall Windfarm</t>
  </si>
  <si>
    <t>T_GORDW</t>
  </si>
  <si>
    <t>Gordonbush Extension</t>
  </si>
  <si>
    <t>G01329NWNI</t>
  </si>
  <si>
    <t>Evishagaran Wind Farm LTD</t>
  </si>
  <si>
    <t>T_DOUGW</t>
  </si>
  <si>
    <t>Douglas West Wind Farm</t>
  </si>
  <si>
    <t>R00199RQWA</t>
  </si>
  <si>
    <t>Pant y Wal Wind Farm</t>
  </si>
  <si>
    <t>R00216SQSC</t>
  </si>
  <si>
    <t>The Carraig Gheal Wind Farm</t>
  </si>
  <si>
    <t>R00184SQSC</t>
  </si>
  <si>
    <t>Beinn an Tuirc Windfarm Extension</t>
  </si>
  <si>
    <t>R00148RQWA</t>
  </si>
  <si>
    <t>Cefn Croes</t>
  </si>
  <si>
    <t>R00266RQEN</t>
  </si>
  <si>
    <t>Tween Bridge Wind Farm</t>
  </si>
  <si>
    <t>T_WDRGW</t>
  </si>
  <si>
    <t>Windy Rig Wind Farm</t>
  </si>
  <si>
    <t>R00238SQSC</t>
  </si>
  <si>
    <t>A'Chruach Wind Farm Limited</t>
  </si>
  <si>
    <t>T_CUMHW</t>
  </si>
  <si>
    <t>Cumberhead Wind</t>
  </si>
  <si>
    <t>R00198NQNI</t>
  </si>
  <si>
    <t>Dunbeg Windfarm</t>
  </si>
  <si>
    <t>T_DALQW</t>
  </si>
  <si>
    <t>Dalquhandy Wind Farm</t>
  </si>
  <si>
    <t>R00122SQSC</t>
  </si>
  <si>
    <t>Edinbane Wind Farm</t>
  </si>
  <si>
    <t>R00197SQSC</t>
  </si>
  <si>
    <t>Rothes2 Wind Farm</t>
  </si>
  <si>
    <t>R00121SQSC</t>
  </si>
  <si>
    <t>Fairburn Windfarm</t>
  </si>
  <si>
    <t>R00324SQSC</t>
  </si>
  <si>
    <t>Airies Wind Farm</t>
  </si>
  <si>
    <t>NAN</t>
  </si>
  <si>
    <t>Nanclach Wind Farm</t>
  </si>
  <si>
    <t>R00135SQSC</t>
  </si>
  <si>
    <t>Achany Windfarm</t>
  </si>
  <si>
    <t>R00266SQSC</t>
  </si>
  <si>
    <t>Auchrobert Wind Farm</t>
  </si>
  <si>
    <t>R00319SQSC</t>
  </si>
  <si>
    <t>Ewe Hill II</t>
  </si>
  <si>
    <t>R00495NQNI</t>
  </si>
  <si>
    <t>Pollnalaght Wind Farm</t>
  </si>
  <si>
    <t>R00119SQSC</t>
  </si>
  <si>
    <t>Longpark Wind Farm</t>
  </si>
  <si>
    <t>T_TWSHW</t>
  </si>
  <si>
    <t>Twentyshilling</t>
  </si>
  <si>
    <t>BRE</t>
  </si>
  <si>
    <t>Brenig Wind Farm</t>
  </si>
  <si>
    <t>R00069SQSC</t>
  </si>
  <si>
    <t>Earlsburn Wind Farm - A,E</t>
  </si>
  <si>
    <t>R00341RQEN</t>
  </si>
  <si>
    <t>Crook Hill</t>
  </si>
  <si>
    <t>R00244SQSC</t>
  </si>
  <si>
    <t>Clashindarroch Wind Farm</t>
  </si>
  <si>
    <t>R00209SQSC</t>
  </si>
  <si>
    <t>Novar II Wind Farm</t>
  </si>
  <si>
    <t>BM Unit?</t>
  </si>
  <si>
    <t>R00092SQSC</t>
  </si>
  <si>
    <t>Drumderg Windfarm</t>
  </si>
  <si>
    <t>R00086SQSC</t>
  </si>
  <si>
    <t>Minsca Windfarm</t>
  </si>
  <si>
    <t>R00291SQSC</t>
  </si>
  <si>
    <t>Andershaw Wind farm</t>
  </si>
  <si>
    <t>E_GRGRW</t>
  </si>
  <si>
    <t>Greengairs East Wind Farm</t>
  </si>
  <si>
    <t>R00279RQEN</t>
  </si>
  <si>
    <t>Green Rigg</t>
  </si>
  <si>
    <t>E_BLARW</t>
  </si>
  <si>
    <t>Blary Hill</t>
  </si>
  <si>
    <t>R00402RQEN</t>
  </si>
  <si>
    <t>Goole Fields II Wind Farm</t>
  </si>
  <si>
    <t>R00995NQNI</t>
  </si>
  <si>
    <t>Tievenameenta Wind Farm</t>
  </si>
  <si>
    <t>R00197RQWA</t>
  </si>
  <si>
    <t>Mynydd y Betws Wind Farm</t>
  </si>
  <si>
    <t>R00205RQWA</t>
  </si>
  <si>
    <t>Garreg Lwyd Hill</t>
  </si>
  <si>
    <t>R00320RQEN</t>
  </si>
  <si>
    <t>Goole Fields Wind Farm</t>
  </si>
  <si>
    <t>R00300SQSC</t>
  </si>
  <si>
    <t>Sanquhar Windfarm</t>
  </si>
  <si>
    <t>MYN</t>
  </si>
  <si>
    <t>Mynydd Y Gwair Wind Farm</t>
  </si>
  <si>
    <t>R00077NQNI</t>
  </si>
  <si>
    <t>Crighshane Energy Limited</t>
  </si>
  <si>
    <t>R00227SQSC</t>
  </si>
  <si>
    <t>Calder Water Windfarm</t>
  </si>
  <si>
    <t>R00157RQWA</t>
  </si>
  <si>
    <t>Ffynnon Oer Wind Farm Ltd - A,E</t>
  </si>
  <si>
    <t>R00377RQEN</t>
  </si>
  <si>
    <t>Beckburn Wind Farm</t>
  </si>
  <si>
    <t>R00323SQSC</t>
  </si>
  <si>
    <t>Tormywheel Wind Farm Limited</t>
  </si>
  <si>
    <t>R00145SQSC</t>
  </si>
  <si>
    <t>Burnfoot</t>
  </si>
  <si>
    <t>R00310SQSC</t>
  </si>
  <si>
    <t>Hare Hill Extension</t>
  </si>
  <si>
    <t>R00211RQEN</t>
  </si>
  <si>
    <t>Lissett Wind Farm</t>
  </si>
  <si>
    <t>R00149NQNI</t>
  </si>
  <si>
    <t>Thornog Windfarm</t>
  </si>
  <si>
    <t>R00051SQSC</t>
  </si>
  <si>
    <t>Ardrossan Windfarm (Scotland) Ltd - A</t>
  </si>
  <si>
    <t>T_HALSW</t>
  </si>
  <si>
    <t>Halsary Windfarm</t>
  </si>
  <si>
    <t>COI</t>
  </si>
  <si>
    <t>Coire Na Cloiche Windfarm</t>
  </si>
  <si>
    <t>R00038NQNI</t>
  </si>
  <si>
    <t>Slieve Divena Windfarm</t>
  </si>
  <si>
    <t>R00226SQSC</t>
  </si>
  <si>
    <t>West Browncastle Wind Farm</t>
  </si>
  <si>
    <t>R00087SQSC</t>
  </si>
  <si>
    <t>Dalswinton Windfarm</t>
  </si>
  <si>
    <t>SOL</t>
  </si>
  <si>
    <t>Solway Wind Farm</t>
  </si>
  <si>
    <t>R00246SQSC</t>
  </si>
  <si>
    <t>Stroupster1</t>
  </si>
  <si>
    <t>R00064SQSC</t>
  </si>
  <si>
    <t>Beinn Tharsuin Wind Farm - A,E</t>
  </si>
  <si>
    <t>R00052SQSC</t>
  </si>
  <si>
    <t>Cruach Mhor Windfarm - A, E</t>
  </si>
  <si>
    <t>R00125SQSC</t>
  </si>
  <si>
    <t>Dun Law Extension</t>
  </si>
  <si>
    <t>R00348RQEN</t>
  </si>
  <si>
    <t>Fraisthorpe Wind Farm Ltd</t>
  </si>
  <si>
    <t>R00311SQSC</t>
  </si>
  <si>
    <t>Penmanshiel-GP</t>
  </si>
  <si>
    <t>R00380RQEN</t>
  </si>
  <si>
    <t>Twin Rivers Wind Farm</t>
  </si>
  <si>
    <t>R00076SQSC</t>
  </si>
  <si>
    <t>Black Hill Wind Farm - A</t>
  </si>
  <si>
    <t>R00152SQSC</t>
  </si>
  <si>
    <t>Drone Hill Wind Farm LTD</t>
  </si>
  <si>
    <t>R00059SQSC</t>
  </si>
  <si>
    <t>Artfield Fell Windfarm - A,C</t>
  </si>
  <si>
    <t>R00004NQNI</t>
  </si>
  <si>
    <t>Tappaghan Windfarm Ltd</t>
  </si>
  <si>
    <t>R00338SQSC</t>
  </si>
  <si>
    <t>Whiteside Hill Wind Farm</t>
  </si>
  <si>
    <t>R00312RQEN</t>
  </si>
  <si>
    <t>Chelveston Renewable Energy</t>
  </si>
  <si>
    <t>R00172SQSC</t>
  </si>
  <si>
    <t>Kelburn Wind Farm</t>
  </si>
  <si>
    <t>R00498NQNI</t>
  </si>
  <si>
    <t>Long Mountain</t>
  </si>
  <si>
    <t>R00082SQSC</t>
  </si>
  <si>
    <t>Ben Aketil Wind Farm</t>
  </si>
  <si>
    <t>R00120SQSC</t>
  </si>
  <si>
    <t>Toddleburn Windfarm</t>
  </si>
  <si>
    <t>R00278SQSC</t>
  </si>
  <si>
    <t>Hill of Glaschyle</t>
  </si>
  <si>
    <t>R00306SQSC</t>
  </si>
  <si>
    <t>Glenchamber - GP</t>
  </si>
  <si>
    <t>R00088SQSC</t>
  </si>
  <si>
    <t>Green Knowes Windfarm</t>
  </si>
  <si>
    <t>R00265RQEN</t>
  </si>
  <si>
    <t>Lynemouth</t>
  </si>
  <si>
    <t>R00263SQSC</t>
  </si>
  <si>
    <t>Quixwood Wind Farm</t>
  </si>
  <si>
    <t>BAD</t>
  </si>
  <si>
    <t>Bad a Cheo Wind Farm</t>
  </si>
  <si>
    <t>R00345RQEN</t>
  </si>
  <si>
    <t>Wryde Croft Wind Farm</t>
  </si>
  <si>
    <t>R00193RQWA</t>
  </si>
  <si>
    <t>Maesgwyn Wind Farm</t>
  </si>
  <si>
    <t>R00058SQSC</t>
  </si>
  <si>
    <t>Glens of Foudland Wind Farm - A, C</t>
  </si>
  <si>
    <t>R00294SQSC</t>
  </si>
  <si>
    <t>Burnhead Wind Farm</t>
  </si>
  <si>
    <t>R00194RQEN</t>
  </si>
  <si>
    <t>Bicker</t>
  </si>
  <si>
    <t>R00257SQSC</t>
  </si>
  <si>
    <t>Dungavel</t>
  </si>
  <si>
    <t>R00096SQSC</t>
  </si>
  <si>
    <t>Hagshaw Hill Extension</t>
  </si>
  <si>
    <t>R00002NQNI</t>
  </si>
  <si>
    <t>Altahullion Wind Farm</t>
  </si>
  <si>
    <t>R00283RQEN</t>
  </si>
  <si>
    <t>Wadlow Wind Farm</t>
  </si>
  <si>
    <t>R00313SQSC</t>
  </si>
  <si>
    <t>Assel Valley Wind Farm</t>
  </si>
  <si>
    <t>R00260SQSC</t>
  </si>
  <si>
    <t>Minnygap Wind Farm</t>
  </si>
  <si>
    <t>R00893NQNI</t>
  </si>
  <si>
    <t>Castlecraig Wind Farm</t>
  </si>
  <si>
    <t>R00036NQNI</t>
  </si>
  <si>
    <t>Gruig Wind Farm</t>
  </si>
  <si>
    <t>R00233SQSC</t>
  </si>
  <si>
    <t>Tullo Extension</t>
  </si>
  <si>
    <t>R00162SQSC</t>
  </si>
  <si>
    <t>Little Raith Wind Farm Limited</t>
  </si>
  <si>
    <t>R00189SQSC</t>
  </si>
  <si>
    <t>Rosehall Wind Farm</t>
  </si>
  <si>
    <t>R00203RQWA</t>
  </si>
  <si>
    <t>Tirgwynt</t>
  </si>
  <si>
    <t>R00244RQEN</t>
  </si>
  <si>
    <t>Rusholme Wind Farm</t>
  </si>
  <si>
    <t>R00273RQEN</t>
  </si>
  <si>
    <t>Hall Wind Farm</t>
  </si>
  <si>
    <t>R00257RQEN</t>
  </si>
  <si>
    <t>Hyndburn Wind Farm</t>
  </si>
  <si>
    <t>R00217RQWA</t>
  </si>
  <si>
    <t>Llynfi Afan Renewable Energy Park Limited</t>
  </si>
  <si>
    <t>G02637NWSC</t>
  </si>
  <si>
    <t>Inverclyde Wind Farm</t>
  </si>
  <si>
    <t>R00196RQWA</t>
  </si>
  <si>
    <t>Maerdy Wind Farm</t>
  </si>
  <si>
    <t>R00166SQSC</t>
  </si>
  <si>
    <t>Millour Hill</t>
  </si>
  <si>
    <t>R00219RQEN</t>
  </si>
  <si>
    <t>West Durham Windfarm ltd</t>
  </si>
  <si>
    <t>G01330NWNI</t>
  </si>
  <si>
    <t>Craiggore Energy LTD</t>
  </si>
  <si>
    <t>R00295SQSC</t>
  </si>
  <si>
    <t>Rhodders</t>
  </si>
  <si>
    <t>R00191RQWA</t>
  </si>
  <si>
    <t>Alltwalis Wind Farm</t>
  </si>
  <si>
    <t>R01231NQNI</t>
  </si>
  <si>
    <t>Broughshane Wind Farm</t>
  </si>
  <si>
    <t>R00261SQSC</t>
  </si>
  <si>
    <t>Freasdail Wind Farm</t>
  </si>
  <si>
    <t>R00273SQSC</t>
  </si>
  <si>
    <t>Kingsburn Wind Farm</t>
  </si>
  <si>
    <t>R00200RQWA</t>
  </si>
  <si>
    <t>Mynydd Bwllfa Wind Farm</t>
  </si>
  <si>
    <t>R00241SQSC</t>
  </si>
  <si>
    <t>Burn of Whilk Wind Farm</t>
  </si>
  <si>
    <t>R00318SQSC</t>
  </si>
  <si>
    <t>Glen App</t>
  </si>
  <si>
    <t>R00099SQSC</t>
  </si>
  <si>
    <t>Wind Energy (North Rhins) Limited</t>
  </si>
  <si>
    <t>R00252RQEN</t>
  </si>
  <si>
    <t>Swinford Wind Farm</t>
  </si>
  <si>
    <t>R00153RQWA</t>
  </si>
  <si>
    <t>Tir Mostyn And Foel Goch</t>
  </si>
  <si>
    <t>R00983NQNI</t>
  </si>
  <si>
    <t>Wheelhouse Energy (NI) Limited</t>
  </si>
  <si>
    <t>R00102NQNI</t>
  </si>
  <si>
    <t>Dunmore Wind Farm Ltd</t>
  </si>
  <si>
    <t>R00155NQNI</t>
  </si>
  <si>
    <t>Carrickatane Windfarm</t>
  </si>
  <si>
    <t>R00332RQEN</t>
  </si>
  <si>
    <t>Middlewick Generating Station</t>
  </si>
  <si>
    <t>R00304RQEN</t>
  </si>
  <si>
    <t>Carland Cross Repowering Windfarm</t>
  </si>
  <si>
    <t>R00280RQEN</t>
  </si>
  <si>
    <t>Sixpenny Wood Wind Farm</t>
  </si>
  <si>
    <t>R00163RQEN</t>
  </si>
  <si>
    <t>Burton Wold Windfarm - A</t>
  </si>
  <si>
    <t>R00303RQEN</t>
  </si>
  <si>
    <t>Bradwell</t>
  </si>
  <si>
    <t>R00274RQEN</t>
  </si>
  <si>
    <t>Wandylaw Wind Farm</t>
  </si>
  <si>
    <t>R00322SQSC</t>
  </si>
  <si>
    <t>Cour WF - GP</t>
  </si>
  <si>
    <t>R00034RQWA</t>
  </si>
  <si>
    <t>Llanbabo (Llyn Alaw)</t>
  </si>
  <si>
    <t>HH_metered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</si>
</sst>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.8000000000000007"/>
      <color rgb="FF000000"/>
      <name val="Trebuchet MS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1" xfId="1" applyBorder="1" applyAlignment="1">
      <alignment vertical="center"/>
    </xf>
    <xf numFmtId="0" fontId="1" fillId="0" borderId="0" xfId="0" applyFont="1"/>
    <xf numFmtId="0" fontId="2" fillId="0" borderId="0" xfId="1"/>
    <xf numFmtId="0" fontId="2" fillId="0" borderId="2" xfId="1" applyBorder="1" applyAlignment="1">
      <alignment horizontal="center" vertical="center" wrapText="1"/>
    </xf>
    <xf numFmtId="0" fontId="2" fillId="0" borderId="3" xfId="1" applyBorder="1" applyAlignment="1">
      <alignment horizontal="center" vertical="center" wrapText="1"/>
    </xf>
    <xf numFmtId="0" fontId="2" fillId="0" borderId="3" xfId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3" fontId="3" fillId="0" borderId="3" xfId="0" applyNumberFormat="1" applyFont="1" applyBorder="1" applyAlignment="1">
      <alignment horizontal="right" vertical="center" wrapText="1"/>
    </xf>
    <xf numFmtId="14" fontId="3" fillId="0" borderId="3" xfId="0" applyNumberFormat="1" applyFont="1" applyBorder="1" applyAlignment="1">
      <alignment horizontal="left" vertical="center" wrapText="1"/>
    </xf>
    <xf numFmtId="10" fontId="3" fillId="0" borderId="3" xfId="0" applyNumberFormat="1" applyFont="1" applyBorder="1" applyAlignment="1">
      <alignment horizontal="right" vertical="center" wrapText="1"/>
    </xf>
    <xf numFmtId="17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ref.org.uk/generators/view.php?rid=E_GRGRW" TargetMode="External"/><Relationship Id="rId21" Type="http://schemas.openxmlformats.org/officeDocument/2006/relationships/hyperlink" Target="https://www.ref.org.uk/generators/view.php?rid=R00173SQSC" TargetMode="External"/><Relationship Id="rId42" Type="http://schemas.openxmlformats.org/officeDocument/2006/relationships/hyperlink" Target="https://www.ref.org.uk/generators/view.php?rid=R00097NQNI" TargetMode="External"/><Relationship Id="rId63" Type="http://schemas.openxmlformats.org/officeDocument/2006/relationships/hyperlink" Target="https://www.ref.org.uk/generators/view.php?rid=R00218RQWA" TargetMode="External"/><Relationship Id="rId84" Type="http://schemas.openxmlformats.org/officeDocument/2006/relationships/hyperlink" Target="https://www.ref.org.uk/generators/view.php?rid=R00095SQSC" TargetMode="External"/><Relationship Id="rId138" Type="http://schemas.openxmlformats.org/officeDocument/2006/relationships/hyperlink" Target="https://www.ref.org.uk/generators/view.php?rid=COI" TargetMode="External"/><Relationship Id="rId159" Type="http://schemas.openxmlformats.org/officeDocument/2006/relationships/hyperlink" Target="https://www.ref.org.uk/generators/view.php?rid=R00120SQSC" TargetMode="External"/><Relationship Id="rId170" Type="http://schemas.openxmlformats.org/officeDocument/2006/relationships/hyperlink" Target="https://www.ref.org.uk/generators/view.php?rid=R00194RQEN" TargetMode="External"/><Relationship Id="rId191" Type="http://schemas.openxmlformats.org/officeDocument/2006/relationships/hyperlink" Target="https://www.ref.org.uk/generators/view.php?regoid=G01330NWNI" TargetMode="External"/><Relationship Id="rId205" Type="http://schemas.openxmlformats.org/officeDocument/2006/relationships/hyperlink" Target="https://www.ref.org.uk/generators/view.php?rid=R00155NQNI" TargetMode="External"/><Relationship Id="rId107" Type="http://schemas.openxmlformats.org/officeDocument/2006/relationships/hyperlink" Target="https://www.ref.org.uk/generators/view.php?rid=R00119SQSC" TargetMode="External"/><Relationship Id="rId11" Type="http://schemas.openxmlformats.org/officeDocument/2006/relationships/hyperlink" Target="https://www.ref.org.uk/generators/search.php?TechCode=NW&amp;start=0&amp;dir=asc&amp;order=13" TargetMode="External"/><Relationship Id="rId32" Type="http://schemas.openxmlformats.org/officeDocument/2006/relationships/hyperlink" Target="https://www.ref.org.uk/generators/view.php?rid=R00262SQSC" TargetMode="External"/><Relationship Id="rId37" Type="http://schemas.openxmlformats.org/officeDocument/2006/relationships/hyperlink" Target="https://www.ref.org.uk/generators/view.php?rid=BKM" TargetMode="External"/><Relationship Id="rId53" Type="http://schemas.openxmlformats.org/officeDocument/2006/relationships/hyperlink" Target="https://www.ref.org.uk/generators/view.php?rid=R00296SQSC" TargetMode="External"/><Relationship Id="rId58" Type="http://schemas.openxmlformats.org/officeDocument/2006/relationships/hyperlink" Target="https://www.ref.org.uk/generators/view.php?rid=T_KENNW" TargetMode="External"/><Relationship Id="rId74" Type="http://schemas.openxmlformats.org/officeDocument/2006/relationships/hyperlink" Target="https://www.ref.org.uk/generators/view.php?rid=BMM" TargetMode="External"/><Relationship Id="rId79" Type="http://schemas.openxmlformats.org/officeDocument/2006/relationships/hyperlink" Target="https://www.ref.org.uk/generators/view.php?rid=R01223NQNI" TargetMode="External"/><Relationship Id="rId102" Type="http://schemas.openxmlformats.org/officeDocument/2006/relationships/hyperlink" Target="https://www.ref.org.uk/generators/view.php?rid=NAN" TargetMode="External"/><Relationship Id="rId123" Type="http://schemas.openxmlformats.org/officeDocument/2006/relationships/hyperlink" Target="https://www.ref.org.uk/generators/view.php?rid=R00205RQWA" TargetMode="External"/><Relationship Id="rId128" Type="http://schemas.openxmlformats.org/officeDocument/2006/relationships/hyperlink" Target="https://www.ref.org.uk/generators/view.php?rid=R00227SQSC" TargetMode="External"/><Relationship Id="rId144" Type="http://schemas.openxmlformats.org/officeDocument/2006/relationships/hyperlink" Target="https://www.ref.org.uk/generators/view.php?rid=R00064SQSC" TargetMode="External"/><Relationship Id="rId149" Type="http://schemas.openxmlformats.org/officeDocument/2006/relationships/hyperlink" Target="https://www.ref.org.uk/generators/view.php?rid=R00380RQEN" TargetMode="External"/><Relationship Id="rId5" Type="http://schemas.openxmlformats.org/officeDocument/2006/relationships/hyperlink" Target="https://www.ref.org.uk/generators/search.php?TechCode=NW&amp;start=0&amp;dir=asc&amp;order=7" TargetMode="External"/><Relationship Id="rId90" Type="http://schemas.openxmlformats.org/officeDocument/2006/relationships/hyperlink" Target="https://www.ref.org.uk/generators/view.php?rid=R00184SQSC" TargetMode="External"/><Relationship Id="rId95" Type="http://schemas.openxmlformats.org/officeDocument/2006/relationships/hyperlink" Target="https://www.ref.org.uk/generators/view.php?rid=T_CUMHW" TargetMode="External"/><Relationship Id="rId160" Type="http://schemas.openxmlformats.org/officeDocument/2006/relationships/hyperlink" Target="https://www.ref.org.uk/generators/view.php?rid=R00278SQSC" TargetMode="External"/><Relationship Id="rId165" Type="http://schemas.openxmlformats.org/officeDocument/2006/relationships/hyperlink" Target="https://www.ref.org.uk/generators/view.php?rid=BAD" TargetMode="External"/><Relationship Id="rId181" Type="http://schemas.openxmlformats.org/officeDocument/2006/relationships/hyperlink" Target="https://www.ref.org.uk/generators/view.php?rid=R00189SQSC" TargetMode="External"/><Relationship Id="rId186" Type="http://schemas.openxmlformats.org/officeDocument/2006/relationships/hyperlink" Target="https://www.ref.org.uk/generators/view.php?rid=R00217RQWA" TargetMode="External"/><Relationship Id="rId211" Type="http://schemas.openxmlformats.org/officeDocument/2006/relationships/hyperlink" Target="https://www.ref.org.uk/generators/view.php?rid=R00274RQEN" TargetMode="External"/><Relationship Id="rId22" Type="http://schemas.openxmlformats.org/officeDocument/2006/relationships/hyperlink" Target="https://www.ref.org.uk/generators/view.php?rid=R00160SQSC" TargetMode="External"/><Relationship Id="rId27" Type="http://schemas.openxmlformats.org/officeDocument/2006/relationships/hyperlink" Target="https://www.ref.org.uk/generators/view.php?rid=R00165SQSC" TargetMode="External"/><Relationship Id="rId43" Type="http://schemas.openxmlformats.org/officeDocument/2006/relationships/hyperlink" Target="https://www.ref.org.uk/generators/view.php?rid=R00074SQSC" TargetMode="External"/><Relationship Id="rId48" Type="http://schemas.openxmlformats.org/officeDocument/2006/relationships/hyperlink" Target="https://www.ref.org.uk/generators/view.php?rid=R00264SQSC" TargetMode="External"/><Relationship Id="rId64" Type="http://schemas.openxmlformats.org/officeDocument/2006/relationships/hyperlink" Target="https://www.ref.org.uk/generators/view.php?rid=R00148SQSC" TargetMode="External"/><Relationship Id="rId69" Type="http://schemas.openxmlformats.org/officeDocument/2006/relationships/hyperlink" Target="https://www.ref.org.uk/generators/view.php?rid=R00281SQSC" TargetMode="External"/><Relationship Id="rId113" Type="http://schemas.openxmlformats.org/officeDocument/2006/relationships/hyperlink" Target="https://www.ref.org.uk/generators/view.php?rid=R00209SQSC" TargetMode="External"/><Relationship Id="rId118" Type="http://schemas.openxmlformats.org/officeDocument/2006/relationships/hyperlink" Target="https://www.ref.org.uk/generators/view.php?rid=R00279RQEN" TargetMode="External"/><Relationship Id="rId134" Type="http://schemas.openxmlformats.org/officeDocument/2006/relationships/hyperlink" Target="https://www.ref.org.uk/generators/view.php?rid=R00211RQEN" TargetMode="External"/><Relationship Id="rId139" Type="http://schemas.openxmlformats.org/officeDocument/2006/relationships/hyperlink" Target="https://www.ref.org.uk/generators/view.php?rid=R00038NQNI" TargetMode="External"/><Relationship Id="rId80" Type="http://schemas.openxmlformats.org/officeDocument/2006/relationships/hyperlink" Target="https://www.ref.org.uk/generators/view.php?rid=R00284SQSC" TargetMode="External"/><Relationship Id="rId85" Type="http://schemas.openxmlformats.org/officeDocument/2006/relationships/hyperlink" Target="https://www.ref.org.uk/generators/view.php?rid=T_GORDW" TargetMode="External"/><Relationship Id="rId150" Type="http://schemas.openxmlformats.org/officeDocument/2006/relationships/hyperlink" Target="https://www.ref.org.uk/generators/view.php?rid=R00076SQSC" TargetMode="External"/><Relationship Id="rId155" Type="http://schemas.openxmlformats.org/officeDocument/2006/relationships/hyperlink" Target="https://www.ref.org.uk/generators/view.php?rid=R00312RQEN" TargetMode="External"/><Relationship Id="rId171" Type="http://schemas.openxmlformats.org/officeDocument/2006/relationships/hyperlink" Target="https://www.ref.org.uk/generators/view.php?rid=R00257SQSC" TargetMode="External"/><Relationship Id="rId176" Type="http://schemas.openxmlformats.org/officeDocument/2006/relationships/hyperlink" Target="https://www.ref.org.uk/generators/view.php?rid=R00260SQSC" TargetMode="External"/><Relationship Id="rId192" Type="http://schemas.openxmlformats.org/officeDocument/2006/relationships/hyperlink" Target="https://www.ref.org.uk/generators/view.php?rid=R00295SQSC" TargetMode="External"/><Relationship Id="rId197" Type="http://schemas.openxmlformats.org/officeDocument/2006/relationships/hyperlink" Target="https://www.ref.org.uk/generators/view.php?rid=R00200RQWA" TargetMode="External"/><Relationship Id="rId206" Type="http://schemas.openxmlformats.org/officeDocument/2006/relationships/hyperlink" Target="https://www.ref.org.uk/generators/view.php?rid=R00332RQEN" TargetMode="External"/><Relationship Id="rId201" Type="http://schemas.openxmlformats.org/officeDocument/2006/relationships/hyperlink" Target="https://www.ref.org.uk/generators/view.php?rid=R00252RQEN" TargetMode="External"/><Relationship Id="rId12" Type="http://schemas.openxmlformats.org/officeDocument/2006/relationships/hyperlink" Target="https://www.ref.org.uk/generators/search.php?TechCode=NW&amp;start=0&amp;dir=asc&amp;order=14" TargetMode="External"/><Relationship Id="rId17" Type="http://schemas.openxmlformats.org/officeDocument/2006/relationships/hyperlink" Target="https://www.ref.org.uk/generators/view.php?rid=R00210RQWA" TargetMode="External"/><Relationship Id="rId33" Type="http://schemas.openxmlformats.org/officeDocument/2006/relationships/hyperlink" Target="https://www.ref.org.uk/generators/view.php?rid=CLO" TargetMode="External"/><Relationship Id="rId38" Type="http://schemas.openxmlformats.org/officeDocument/2006/relationships/hyperlink" Target="https://www.ref.org.uk/generators/view.php?rid=T_SAKNW" TargetMode="External"/><Relationship Id="rId59" Type="http://schemas.openxmlformats.org/officeDocument/2006/relationships/hyperlink" Target="https://www.ref.org.uk/generators/view.php?rid=R00299SQSC" TargetMode="External"/><Relationship Id="rId103" Type="http://schemas.openxmlformats.org/officeDocument/2006/relationships/hyperlink" Target="https://www.ref.org.uk/generators/view.php?rid=R00135SQSC" TargetMode="External"/><Relationship Id="rId108" Type="http://schemas.openxmlformats.org/officeDocument/2006/relationships/hyperlink" Target="https://www.ref.org.uk/generators/view.php?rid=T_TWSHW" TargetMode="External"/><Relationship Id="rId124" Type="http://schemas.openxmlformats.org/officeDocument/2006/relationships/hyperlink" Target="https://www.ref.org.uk/generators/view.php?rid=R00320RQEN" TargetMode="External"/><Relationship Id="rId129" Type="http://schemas.openxmlformats.org/officeDocument/2006/relationships/hyperlink" Target="https://www.ref.org.uk/generators/view.php?rid=R00157RQWA" TargetMode="External"/><Relationship Id="rId54" Type="http://schemas.openxmlformats.org/officeDocument/2006/relationships/hyperlink" Target="https://www.ref.org.uk/generators/view.php?rid=R00079SQSC" TargetMode="External"/><Relationship Id="rId70" Type="http://schemas.openxmlformats.org/officeDocument/2006/relationships/hyperlink" Target="https://www.ref.org.uk/generators/view.php?rid=R00186SQSC" TargetMode="External"/><Relationship Id="rId75" Type="http://schemas.openxmlformats.org/officeDocument/2006/relationships/hyperlink" Target="https://www.ref.org.uk/generators/view.php?rid=R00055SQSC" TargetMode="External"/><Relationship Id="rId91" Type="http://schemas.openxmlformats.org/officeDocument/2006/relationships/hyperlink" Target="https://www.ref.org.uk/generators/view.php?rid=R00148RQWA" TargetMode="External"/><Relationship Id="rId96" Type="http://schemas.openxmlformats.org/officeDocument/2006/relationships/hyperlink" Target="https://www.ref.org.uk/generators/view.php?rid=R00198NQNI" TargetMode="External"/><Relationship Id="rId140" Type="http://schemas.openxmlformats.org/officeDocument/2006/relationships/hyperlink" Target="https://www.ref.org.uk/generators/view.php?rid=R00226SQSC" TargetMode="External"/><Relationship Id="rId145" Type="http://schemas.openxmlformats.org/officeDocument/2006/relationships/hyperlink" Target="https://www.ref.org.uk/generators/view.php?rid=R00052SQSC" TargetMode="External"/><Relationship Id="rId161" Type="http://schemas.openxmlformats.org/officeDocument/2006/relationships/hyperlink" Target="https://www.ref.org.uk/generators/view.php?rid=R00306SQSC" TargetMode="External"/><Relationship Id="rId166" Type="http://schemas.openxmlformats.org/officeDocument/2006/relationships/hyperlink" Target="https://www.ref.org.uk/generators/view.php?rid=R00345RQEN" TargetMode="External"/><Relationship Id="rId182" Type="http://schemas.openxmlformats.org/officeDocument/2006/relationships/hyperlink" Target="https://www.ref.org.uk/generators/view.php?rid=R00203RQWA" TargetMode="External"/><Relationship Id="rId187" Type="http://schemas.openxmlformats.org/officeDocument/2006/relationships/hyperlink" Target="https://www.ref.org.uk/generators/view.php?regoid=G02637NWSC" TargetMode="External"/><Relationship Id="rId1" Type="http://schemas.openxmlformats.org/officeDocument/2006/relationships/hyperlink" Target="https://www.ref.org.uk/generators/search.php?TechCode=NW&amp;start=0&amp;dir=asc&amp;order=1" TargetMode="External"/><Relationship Id="rId6" Type="http://schemas.openxmlformats.org/officeDocument/2006/relationships/hyperlink" Target="https://www.ref.org.uk/generators/search.php?TechCode=NW&amp;start=0&amp;dir=asc&amp;order=8" TargetMode="External"/><Relationship Id="rId212" Type="http://schemas.openxmlformats.org/officeDocument/2006/relationships/hyperlink" Target="https://www.ref.org.uk/generators/view.php?rid=R00322SQSC" TargetMode="External"/><Relationship Id="rId23" Type="http://schemas.openxmlformats.org/officeDocument/2006/relationships/hyperlink" Target="https://www.ref.org.uk/generators/view.php?rid=DOR" TargetMode="External"/><Relationship Id="rId28" Type="http://schemas.openxmlformats.org/officeDocument/2006/relationships/hyperlink" Target="https://www.ref.org.uk/generators/view.php?rid=R00060SQSC" TargetMode="External"/><Relationship Id="rId49" Type="http://schemas.openxmlformats.org/officeDocument/2006/relationships/hyperlink" Target="https://www.ref.org.uk/generators/view.php?rid=R00093SQSC" TargetMode="External"/><Relationship Id="rId114" Type="http://schemas.openxmlformats.org/officeDocument/2006/relationships/hyperlink" Target="https://www.ref.org.uk/generators/view.php?rid=R00092SQSC" TargetMode="External"/><Relationship Id="rId119" Type="http://schemas.openxmlformats.org/officeDocument/2006/relationships/hyperlink" Target="https://www.ref.org.uk/generators/view.php?rid=E_BLARW" TargetMode="External"/><Relationship Id="rId44" Type="http://schemas.openxmlformats.org/officeDocument/2006/relationships/hyperlink" Target="https://www.ref.org.uk/generators/view.php?rid=R00170SQSC" TargetMode="External"/><Relationship Id="rId60" Type="http://schemas.openxmlformats.org/officeDocument/2006/relationships/hyperlink" Target="https://www.ref.org.uk/generators/view.php?rid=R00251SQSC" TargetMode="External"/><Relationship Id="rId65" Type="http://schemas.openxmlformats.org/officeDocument/2006/relationships/hyperlink" Target="https://www.ref.org.uk/generators/view.php?rid=R00240SQSC" TargetMode="External"/><Relationship Id="rId81" Type="http://schemas.openxmlformats.org/officeDocument/2006/relationships/hyperlink" Target="https://www.ref.org.uk/generators/view.php?rid=T_CRDEW" TargetMode="External"/><Relationship Id="rId86" Type="http://schemas.openxmlformats.org/officeDocument/2006/relationships/hyperlink" Target="https://www.ref.org.uk/generators/view.php?regoid=G01329NWNI" TargetMode="External"/><Relationship Id="rId130" Type="http://schemas.openxmlformats.org/officeDocument/2006/relationships/hyperlink" Target="https://www.ref.org.uk/generators/view.php?rid=R00377RQEN" TargetMode="External"/><Relationship Id="rId135" Type="http://schemas.openxmlformats.org/officeDocument/2006/relationships/hyperlink" Target="https://www.ref.org.uk/generators/view.php?rid=R00149NQNI" TargetMode="External"/><Relationship Id="rId151" Type="http://schemas.openxmlformats.org/officeDocument/2006/relationships/hyperlink" Target="https://www.ref.org.uk/generators/view.php?rid=R00152SQSC" TargetMode="External"/><Relationship Id="rId156" Type="http://schemas.openxmlformats.org/officeDocument/2006/relationships/hyperlink" Target="https://www.ref.org.uk/generators/view.php?rid=R00172SQSC" TargetMode="External"/><Relationship Id="rId177" Type="http://schemas.openxmlformats.org/officeDocument/2006/relationships/hyperlink" Target="https://www.ref.org.uk/generators/view.php?rid=R00893NQNI" TargetMode="External"/><Relationship Id="rId198" Type="http://schemas.openxmlformats.org/officeDocument/2006/relationships/hyperlink" Target="https://www.ref.org.uk/generators/view.php?rid=R00241SQSC" TargetMode="External"/><Relationship Id="rId172" Type="http://schemas.openxmlformats.org/officeDocument/2006/relationships/hyperlink" Target="https://www.ref.org.uk/generators/view.php?rid=R00096SQSC" TargetMode="External"/><Relationship Id="rId193" Type="http://schemas.openxmlformats.org/officeDocument/2006/relationships/hyperlink" Target="https://www.ref.org.uk/generators/view.php?rid=R00191RQWA" TargetMode="External"/><Relationship Id="rId202" Type="http://schemas.openxmlformats.org/officeDocument/2006/relationships/hyperlink" Target="https://www.ref.org.uk/generators/view.php?rid=R00153RQWA" TargetMode="External"/><Relationship Id="rId207" Type="http://schemas.openxmlformats.org/officeDocument/2006/relationships/hyperlink" Target="https://www.ref.org.uk/generators/view.php?rid=R00304RQEN" TargetMode="External"/><Relationship Id="rId13" Type="http://schemas.openxmlformats.org/officeDocument/2006/relationships/hyperlink" Target="https://www.ref.org.uk/generators/search.php?TechCode=NW&amp;start=0&amp;dir=asc&amp;order=15" TargetMode="External"/><Relationship Id="rId18" Type="http://schemas.openxmlformats.org/officeDocument/2006/relationships/hyperlink" Target="https://www.ref.org.uk/generators/view.php?rid=R00332SQSC" TargetMode="External"/><Relationship Id="rId39" Type="http://schemas.openxmlformats.org/officeDocument/2006/relationships/hyperlink" Target="https://www.ref.org.uk/generators/view.php?rid=T_AKGLW" TargetMode="External"/><Relationship Id="rId109" Type="http://schemas.openxmlformats.org/officeDocument/2006/relationships/hyperlink" Target="https://www.ref.org.uk/generators/view.php?rid=BRE" TargetMode="External"/><Relationship Id="rId34" Type="http://schemas.openxmlformats.org/officeDocument/2006/relationships/hyperlink" Target="https://www.ref.org.uk/generators/view.php?rid=R00312SQSC" TargetMode="External"/><Relationship Id="rId50" Type="http://schemas.openxmlformats.org/officeDocument/2006/relationships/hyperlink" Target="https://www.ref.org.uk/generators/view.php?rid=T_KYPEW" TargetMode="External"/><Relationship Id="rId55" Type="http://schemas.openxmlformats.org/officeDocument/2006/relationships/hyperlink" Target="https://www.ref.org.uk/generators/view.php?rid=R00200RQEN" TargetMode="External"/><Relationship Id="rId76" Type="http://schemas.openxmlformats.org/officeDocument/2006/relationships/hyperlink" Target="https://www.ref.org.uk/generators/view.php?rid=T_GLNKW" TargetMode="External"/><Relationship Id="rId97" Type="http://schemas.openxmlformats.org/officeDocument/2006/relationships/hyperlink" Target="https://www.ref.org.uk/generators/view.php?rid=T_DALQW" TargetMode="External"/><Relationship Id="rId104" Type="http://schemas.openxmlformats.org/officeDocument/2006/relationships/hyperlink" Target="https://www.ref.org.uk/generators/view.php?rid=R00266SQSC" TargetMode="External"/><Relationship Id="rId120" Type="http://schemas.openxmlformats.org/officeDocument/2006/relationships/hyperlink" Target="https://www.ref.org.uk/generators/view.php?rid=R00402RQEN" TargetMode="External"/><Relationship Id="rId125" Type="http://schemas.openxmlformats.org/officeDocument/2006/relationships/hyperlink" Target="https://www.ref.org.uk/generators/view.php?rid=R00300SQSC" TargetMode="External"/><Relationship Id="rId141" Type="http://schemas.openxmlformats.org/officeDocument/2006/relationships/hyperlink" Target="https://www.ref.org.uk/generators/view.php?rid=R00087SQSC" TargetMode="External"/><Relationship Id="rId146" Type="http://schemas.openxmlformats.org/officeDocument/2006/relationships/hyperlink" Target="https://www.ref.org.uk/generators/view.php?rid=R00125SQSC" TargetMode="External"/><Relationship Id="rId167" Type="http://schemas.openxmlformats.org/officeDocument/2006/relationships/hyperlink" Target="https://www.ref.org.uk/generators/view.php?rid=R00193RQWA" TargetMode="External"/><Relationship Id="rId188" Type="http://schemas.openxmlformats.org/officeDocument/2006/relationships/hyperlink" Target="https://www.ref.org.uk/generators/view.php?rid=R00196RQWA" TargetMode="External"/><Relationship Id="rId7" Type="http://schemas.openxmlformats.org/officeDocument/2006/relationships/hyperlink" Target="https://www.ref.org.uk/generators/search.php?TechCode=NW&amp;start=0&amp;dir=asc&amp;order=9" TargetMode="External"/><Relationship Id="rId71" Type="http://schemas.openxmlformats.org/officeDocument/2006/relationships/hyperlink" Target="https://www.ref.org.uk/generators/view.php?rid=R00329SQSC" TargetMode="External"/><Relationship Id="rId92" Type="http://schemas.openxmlformats.org/officeDocument/2006/relationships/hyperlink" Target="https://www.ref.org.uk/generators/view.php?rid=R00266RQEN" TargetMode="External"/><Relationship Id="rId162" Type="http://schemas.openxmlformats.org/officeDocument/2006/relationships/hyperlink" Target="https://www.ref.org.uk/generators/view.php?rid=R00088SQSC" TargetMode="External"/><Relationship Id="rId183" Type="http://schemas.openxmlformats.org/officeDocument/2006/relationships/hyperlink" Target="https://www.ref.org.uk/generators/view.php?rid=R00244RQEN" TargetMode="External"/><Relationship Id="rId213" Type="http://schemas.openxmlformats.org/officeDocument/2006/relationships/hyperlink" Target="https://www.ref.org.uk/generators/view.php?rid=R00034RQWA" TargetMode="External"/><Relationship Id="rId2" Type="http://schemas.openxmlformats.org/officeDocument/2006/relationships/hyperlink" Target="https://www.ref.org.uk/generators/search.php?TechCode=NW&amp;start=0&amp;dir=asc&amp;order=4" TargetMode="External"/><Relationship Id="rId29" Type="http://schemas.openxmlformats.org/officeDocument/2006/relationships/hyperlink" Target="https://www.ref.org.uk/generators/view.php?rid=R00150SQSC" TargetMode="External"/><Relationship Id="rId24" Type="http://schemas.openxmlformats.org/officeDocument/2006/relationships/hyperlink" Target="https://www.ref.org.uk/generators/view.php?rid=R00161SQSC" TargetMode="External"/><Relationship Id="rId40" Type="http://schemas.openxmlformats.org/officeDocument/2006/relationships/hyperlink" Target="https://www.ref.org.uk/generators/view.php?rid=R00212SQSC" TargetMode="External"/><Relationship Id="rId45" Type="http://schemas.openxmlformats.org/officeDocument/2006/relationships/hyperlink" Target="https://www.ref.org.uk/generators/view.php?rid=R00285SQSC" TargetMode="External"/><Relationship Id="rId66" Type="http://schemas.openxmlformats.org/officeDocument/2006/relationships/hyperlink" Target="https://www.ref.org.uk/generators/view.php?rid=R00374RQEN" TargetMode="External"/><Relationship Id="rId87" Type="http://schemas.openxmlformats.org/officeDocument/2006/relationships/hyperlink" Target="https://www.ref.org.uk/generators/view.php?rid=T_DOUGW" TargetMode="External"/><Relationship Id="rId110" Type="http://schemas.openxmlformats.org/officeDocument/2006/relationships/hyperlink" Target="https://www.ref.org.uk/generators/view.php?rid=R00069SQSC" TargetMode="External"/><Relationship Id="rId115" Type="http://schemas.openxmlformats.org/officeDocument/2006/relationships/hyperlink" Target="https://www.ref.org.uk/generators/view.php?rid=R00086SQSC" TargetMode="External"/><Relationship Id="rId131" Type="http://schemas.openxmlformats.org/officeDocument/2006/relationships/hyperlink" Target="https://www.ref.org.uk/generators/view.php?rid=R00323SQSC" TargetMode="External"/><Relationship Id="rId136" Type="http://schemas.openxmlformats.org/officeDocument/2006/relationships/hyperlink" Target="https://www.ref.org.uk/generators/view.php?rid=R00051SQSC" TargetMode="External"/><Relationship Id="rId157" Type="http://schemas.openxmlformats.org/officeDocument/2006/relationships/hyperlink" Target="https://www.ref.org.uk/generators/view.php?rid=R00498NQNI" TargetMode="External"/><Relationship Id="rId178" Type="http://schemas.openxmlformats.org/officeDocument/2006/relationships/hyperlink" Target="https://www.ref.org.uk/generators/view.php?rid=R00036NQNI" TargetMode="External"/><Relationship Id="rId61" Type="http://schemas.openxmlformats.org/officeDocument/2006/relationships/hyperlink" Target="https://www.ref.org.uk/generators/view.php?rid=R00243SQSC" TargetMode="External"/><Relationship Id="rId82" Type="http://schemas.openxmlformats.org/officeDocument/2006/relationships/hyperlink" Target="https://www.ref.org.uk/generators/view.php?rid=R00176SQSC" TargetMode="External"/><Relationship Id="rId152" Type="http://schemas.openxmlformats.org/officeDocument/2006/relationships/hyperlink" Target="https://www.ref.org.uk/generators/view.php?rid=R00059SQSC" TargetMode="External"/><Relationship Id="rId173" Type="http://schemas.openxmlformats.org/officeDocument/2006/relationships/hyperlink" Target="https://www.ref.org.uk/generators/view.php?rid=R00002NQNI" TargetMode="External"/><Relationship Id="rId194" Type="http://schemas.openxmlformats.org/officeDocument/2006/relationships/hyperlink" Target="https://www.ref.org.uk/generators/view.php?rid=R01231NQNI" TargetMode="External"/><Relationship Id="rId199" Type="http://schemas.openxmlformats.org/officeDocument/2006/relationships/hyperlink" Target="https://www.ref.org.uk/generators/view.php?rid=R00318SQSC" TargetMode="External"/><Relationship Id="rId203" Type="http://schemas.openxmlformats.org/officeDocument/2006/relationships/hyperlink" Target="https://www.ref.org.uk/generators/view.php?rid=R00983NQNI" TargetMode="External"/><Relationship Id="rId208" Type="http://schemas.openxmlformats.org/officeDocument/2006/relationships/hyperlink" Target="https://www.ref.org.uk/generators/view.php?rid=R00280RQEN" TargetMode="External"/><Relationship Id="rId19" Type="http://schemas.openxmlformats.org/officeDocument/2006/relationships/hyperlink" Target="https://www.ref.org.uk/generators/view.php?rid=R00169SQSC" TargetMode="External"/><Relationship Id="rId14" Type="http://schemas.openxmlformats.org/officeDocument/2006/relationships/hyperlink" Target="https://www.ref.org.uk/generators/view.php?rid=R00089SQSC" TargetMode="External"/><Relationship Id="rId30" Type="http://schemas.openxmlformats.org/officeDocument/2006/relationships/hyperlink" Target="https://www.ref.org.uk/generators/view.php?rid=R00063SQSC" TargetMode="External"/><Relationship Id="rId35" Type="http://schemas.openxmlformats.org/officeDocument/2006/relationships/hyperlink" Target="https://www.ref.org.uk/generators/view.php?rid=T_CREAW" TargetMode="External"/><Relationship Id="rId56" Type="http://schemas.openxmlformats.org/officeDocument/2006/relationships/hyperlink" Target="https://www.ref.org.uk/generators/view.php?rid=R00066SQSC" TargetMode="External"/><Relationship Id="rId77" Type="http://schemas.openxmlformats.org/officeDocument/2006/relationships/hyperlink" Target="https://www.ref.org.uk/generators/view.php?rid=R00205SQSC" TargetMode="External"/><Relationship Id="rId100" Type="http://schemas.openxmlformats.org/officeDocument/2006/relationships/hyperlink" Target="https://www.ref.org.uk/generators/view.php?rid=R00121SQSC" TargetMode="External"/><Relationship Id="rId105" Type="http://schemas.openxmlformats.org/officeDocument/2006/relationships/hyperlink" Target="https://www.ref.org.uk/generators/view.php?rid=R00319SQSC" TargetMode="External"/><Relationship Id="rId126" Type="http://schemas.openxmlformats.org/officeDocument/2006/relationships/hyperlink" Target="https://www.ref.org.uk/generators/view.php?rid=MYN" TargetMode="External"/><Relationship Id="rId147" Type="http://schemas.openxmlformats.org/officeDocument/2006/relationships/hyperlink" Target="https://www.ref.org.uk/generators/view.php?rid=R00348RQEN" TargetMode="External"/><Relationship Id="rId168" Type="http://schemas.openxmlformats.org/officeDocument/2006/relationships/hyperlink" Target="https://www.ref.org.uk/generators/view.php?rid=R00058SQSC" TargetMode="External"/><Relationship Id="rId8" Type="http://schemas.openxmlformats.org/officeDocument/2006/relationships/hyperlink" Target="https://www.ref.org.uk/generators/search.php?TechCode=NW&amp;start=0&amp;dir=asc&amp;order=10" TargetMode="External"/><Relationship Id="rId51" Type="http://schemas.openxmlformats.org/officeDocument/2006/relationships/hyperlink" Target="https://www.ref.org.uk/generators/view.php?rid=R00237SQSC" TargetMode="External"/><Relationship Id="rId72" Type="http://schemas.openxmlformats.org/officeDocument/2006/relationships/hyperlink" Target="https://www.ref.org.uk/generators/view.php?rid=R00272SQSC" TargetMode="External"/><Relationship Id="rId93" Type="http://schemas.openxmlformats.org/officeDocument/2006/relationships/hyperlink" Target="https://www.ref.org.uk/generators/view.php?rid=T_WDRGW" TargetMode="External"/><Relationship Id="rId98" Type="http://schemas.openxmlformats.org/officeDocument/2006/relationships/hyperlink" Target="https://www.ref.org.uk/generators/view.php?rid=R00122SQSC" TargetMode="External"/><Relationship Id="rId121" Type="http://schemas.openxmlformats.org/officeDocument/2006/relationships/hyperlink" Target="https://www.ref.org.uk/generators/view.php?rid=R00995NQNI" TargetMode="External"/><Relationship Id="rId142" Type="http://schemas.openxmlformats.org/officeDocument/2006/relationships/hyperlink" Target="https://www.ref.org.uk/generators/view.php?rid=SOL" TargetMode="External"/><Relationship Id="rId163" Type="http://schemas.openxmlformats.org/officeDocument/2006/relationships/hyperlink" Target="https://www.ref.org.uk/generators/view.php?rid=R00265RQEN" TargetMode="External"/><Relationship Id="rId184" Type="http://schemas.openxmlformats.org/officeDocument/2006/relationships/hyperlink" Target="https://www.ref.org.uk/generators/view.php?rid=R00273RQEN" TargetMode="External"/><Relationship Id="rId189" Type="http://schemas.openxmlformats.org/officeDocument/2006/relationships/hyperlink" Target="https://www.ref.org.uk/generators/view.php?rid=R00166SQSC" TargetMode="External"/><Relationship Id="rId3" Type="http://schemas.openxmlformats.org/officeDocument/2006/relationships/hyperlink" Target="https://www.ref.org.uk/generators/search.php?TechCode=NW&amp;start=0&amp;dir=asc&amp;order=5" TargetMode="External"/><Relationship Id="rId214" Type="http://schemas.openxmlformats.org/officeDocument/2006/relationships/printerSettings" Target="../printerSettings/printerSettings1.bin"/><Relationship Id="rId25" Type="http://schemas.openxmlformats.org/officeDocument/2006/relationships/hyperlink" Target="https://www.ref.org.uk/generators/view.php?rid=R00224SQSC" TargetMode="External"/><Relationship Id="rId46" Type="http://schemas.openxmlformats.org/officeDocument/2006/relationships/hyperlink" Target="https://www.ref.org.uk/generators/view.php?rid=R00163SQSC" TargetMode="External"/><Relationship Id="rId67" Type="http://schemas.openxmlformats.org/officeDocument/2006/relationships/hyperlink" Target="https://www.ref.org.uk/generators/view.php?rid=R00027NQNI" TargetMode="External"/><Relationship Id="rId116" Type="http://schemas.openxmlformats.org/officeDocument/2006/relationships/hyperlink" Target="https://www.ref.org.uk/generators/view.php?rid=R00291SQSC" TargetMode="External"/><Relationship Id="rId137" Type="http://schemas.openxmlformats.org/officeDocument/2006/relationships/hyperlink" Target="https://www.ref.org.uk/generators/view.php?rid=T_HALSW" TargetMode="External"/><Relationship Id="rId158" Type="http://schemas.openxmlformats.org/officeDocument/2006/relationships/hyperlink" Target="https://www.ref.org.uk/generators/view.php?rid=R00082SQSC" TargetMode="External"/><Relationship Id="rId20" Type="http://schemas.openxmlformats.org/officeDocument/2006/relationships/hyperlink" Target="https://www.ref.org.uk/generators/view.php?rid=R00187SQSC" TargetMode="External"/><Relationship Id="rId41" Type="http://schemas.openxmlformats.org/officeDocument/2006/relationships/hyperlink" Target="https://www.ref.org.uk/generators/view.php?rid=R00308SQSC" TargetMode="External"/><Relationship Id="rId62" Type="http://schemas.openxmlformats.org/officeDocument/2006/relationships/hyperlink" Target="https://www.ref.org.uk/generators/view.php?rid=R00201RQEN" TargetMode="External"/><Relationship Id="rId83" Type="http://schemas.openxmlformats.org/officeDocument/2006/relationships/hyperlink" Target="https://www.ref.org.uk/generators/view.php?rid=R00111SQSC" TargetMode="External"/><Relationship Id="rId88" Type="http://schemas.openxmlformats.org/officeDocument/2006/relationships/hyperlink" Target="https://www.ref.org.uk/generators/view.php?rid=R00199RQWA" TargetMode="External"/><Relationship Id="rId111" Type="http://schemas.openxmlformats.org/officeDocument/2006/relationships/hyperlink" Target="https://www.ref.org.uk/generators/view.php?rid=R00341RQEN" TargetMode="External"/><Relationship Id="rId132" Type="http://schemas.openxmlformats.org/officeDocument/2006/relationships/hyperlink" Target="https://www.ref.org.uk/generators/view.php?rid=R00145SQSC" TargetMode="External"/><Relationship Id="rId153" Type="http://schemas.openxmlformats.org/officeDocument/2006/relationships/hyperlink" Target="https://www.ref.org.uk/generators/view.php?rid=R00004NQNI" TargetMode="External"/><Relationship Id="rId174" Type="http://schemas.openxmlformats.org/officeDocument/2006/relationships/hyperlink" Target="https://www.ref.org.uk/generators/view.php?rid=R00283RQEN" TargetMode="External"/><Relationship Id="rId179" Type="http://schemas.openxmlformats.org/officeDocument/2006/relationships/hyperlink" Target="https://www.ref.org.uk/generators/view.php?rid=R00233SQSC" TargetMode="External"/><Relationship Id="rId195" Type="http://schemas.openxmlformats.org/officeDocument/2006/relationships/hyperlink" Target="https://www.ref.org.uk/generators/view.php?rid=R00261SQSC" TargetMode="External"/><Relationship Id="rId209" Type="http://schemas.openxmlformats.org/officeDocument/2006/relationships/hyperlink" Target="https://www.ref.org.uk/generators/view.php?rid=R00163RQEN" TargetMode="External"/><Relationship Id="rId190" Type="http://schemas.openxmlformats.org/officeDocument/2006/relationships/hyperlink" Target="https://www.ref.org.uk/generators/view.php?rid=R00219RQEN" TargetMode="External"/><Relationship Id="rId204" Type="http://schemas.openxmlformats.org/officeDocument/2006/relationships/hyperlink" Target="https://www.ref.org.uk/generators/view.php?rid=R00102NQNI" TargetMode="External"/><Relationship Id="rId15" Type="http://schemas.openxmlformats.org/officeDocument/2006/relationships/hyperlink" Target="https://www.ref.org.uk/generators/view.php?rid=R00316SQSC" TargetMode="External"/><Relationship Id="rId36" Type="http://schemas.openxmlformats.org/officeDocument/2006/relationships/hyperlink" Target="https://www.ref.org.uk/generators/view.php?rid=R00062SQSC" TargetMode="External"/><Relationship Id="rId57" Type="http://schemas.openxmlformats.org/officeDocument/2006/relationships/hyperlink" Target="https://www.ref.org.uk/generators/view.php?rid=R00049SQSC" TargetMode="External"/><Relationship Id="rId106" Type="http://schemas.openxmlformats.org/officeDocument/2006/relationships/hyperlink" Target="https://www.ref.org.uk/generators/view.php?rid=R00495NQNI" TargetMode="External"/><Relationship Id="rId127" Type="http://schemas.openxmlformats.org/officeDocument/2006/relationships/hyperlink" Target="https://www.ref.org.uk/generators/view.php?rid=R00077NQNI" TargetMode="External"/><Relationship Id="rId10" Type="http://schemas.openxmlformats.org/officeDocument/2006/relationships/hyperlink" Target="https://www.ref.org.uk/generators/search.php?TechCode=NW&amp;start=0&amp;dir=asc&amp;order=12" TargetMode="External"/><Relationship Id="rId31" Type="http://schemas.openxmlformats.org/officeDocument/2006/relationships/hyperlink" Target="https://www.ref.org.uk/generators/view.php?rid=R00321SQSC" TargetMode="External"/><Relationship Id="rId52" Type="http://schemas.openxmlformats.org/officeDocument/2006/relationships/hyperlink" Target="https://www.ref.org.uk/generators/view.php?rid=R00236RQEN" TargetMode="External"/><Relationship Id="rId73" Type="http://schemas.openxmlformats.org/officeDocument/2006/relationships/hyperlink" Target="https://www.ref.org.uk/generators/view.php?rid=R00357RQEN" TargetMode="External"/><Relationship Id="rId78" Type="http://schemas.openxmlformats.org/officeDocument/2006/relationships/hyperlink" Target="https://www.ref.org.uk/generators/view.php?rid=E_BTUIW" TargetMode="External"/><Relationship Id="rId94" Type="http://schemas.openxmlformats.org/officeDocument/2006/relationships/hyperlink" Target="https://www.ref.org.uk/generators/view.php?rid=R00238SQSC" TargetMode="External"/><Relationship Id="rId99" Type="http://schemas.openxmlformats.org/officeDocument/2006/relationships/hyperlink" Target="https://www.ref.org.uk/generators/view.php?rid=R00197SQSC" TargetMode="External"/><Relationship Id="rId101" Type="http://schemas.openxmlformats.org/officeDocument/2006/relationships/hyperlink" Target="https://www.ref.org.uk/generators/view.php?rid=R00324SQSC" TargetMode="External"/><Relationship Id="rId122" Type="http://schemas.openxmlformats.org/officeDocument/2006/relationships/hyperlink" Target="https://www.ref.org.uk/generators/view.php?rid=R00197RQWA" TargetMode="External"/><Relationship Id="rId143" Type="http://schemas.openxmlformats.org/officeDocument/2006/relationships/hyperlink" Target="https://www.ref.org.uk/generators/view.php?rid=R00246SQSC" TargetMode="External"/><Relationship Id="rId148" Type="http://schemas.openxmlformats.org/officeDocument/2006/relationships/hyperlink" Target="https://www.ref.org.uk/generators/view.php?rid=R00311SQSC" TargetMode="External"/><Relationship Id="rId164" Type="http://schemas.openxmlformats.org/officeDocument/2006/relationships/hyperlink" Target="https://www.ref.org.uk/generators/view.php?rid=R00263SQSC" TargetMode="External"/><Relationship Id="rId169" Type="http://schemas.openxmlformats.org/officeDocument/2006/relationships/hyperlink" Target="https://www.ref.org.uk/generators/view.php?rid=R00294SQSC" TargetMode="External"/><Relationship Id="rId185" Type="http://schemas.openxmlformats.org/officeDocument/2006/relationships/hyperlink" Target="https://www.ref.org.uk/generators/view.php?rid=R00257RQEN" TargetMode="External"/><Relationship Id="rId4" Type="http://schemas.openxmlformats.org/officeDocument/2006/relationships/hyperlink" Target="https://www.ref.org.uk/generators/search.php?TechCode=NW&amp;start=0&amp;dir=asc&amp;order=6" TargetMode="External"/><Relationship Id="rId9" Type="http://schemas.openxmlformats.org/officeDocument/2006/relationships/hyperlink" Target="https://www.ref.org.uk/generators/search.php?TechCode=NW&amp;start=0&amp;dir=asc&amp;order=11" TargetMode="External"/><Relationship Id="rId180" Type="http://schemas.openxmlformats.org/officeDocument/2006/relationships/hyperlink" Target="https://www.ref.org.uk/generators/view.php?rid=R00162SQSC" TargetMode="External"/><Relationship Id="rId210" Type="http://schemas.openxmlformats.org/officeDocument/2006/relationships/hyperlink" Target="https://www.ref.org.uk/generators/view.php?rid=R00303RQEN" TargetMode="External"/><Relationship Id="rId26" Type="http://schemas.openxmlformats.org/officeDocument/2006/relationships/hyperlink" Target="https://www.ref.org.uk/generators/view.php?rid=R00103SQSC" TargetMode="External"/><Relationship Id="rId47" Type="http://schemas.openxmlformats.org/officeDocument/2006/relationships/hyperlink" Target="https://www.ref.org.uk/generators/view.php?rid=R00313RQEN" TargetMode="External"/><Relationship Id="rId68" Type="http://schemas.openxmlformats.org/officeDocument/2006/relationships/hyperlink" Target="https://www.ref.org.uk/generators/view.php?rid=R00308RQEN" TargetMode="External"/><Relationship Id="rId89" Type="http://schemas.openxmlformats.org/officeDocument/2006/relationships/hyperlink" Target="https://www.ref.org.uk/generators/view.php?rid=R00216SQSC" TargetMode="External"/><Relationship Id="rId112" Type="http://schemas.openxmlformats.org/officeDocument/2006/relationships/hyperlink" Target="https://www.ref.org.uk/generators/view.php?rid=R00244SQSC" TargetMode="External"/><Relationship Id="rId133" Type="http://schemas.openxmlformats.org/officeDocument/2006/relationships/hyperlink" Target="https://www.ref.org.uk/generators/view.php?rid=R00310SQSC" TargetMode="External"/><Relationship Id="rId154" Type="http://schemas.openxmlformats.org/officeDocument/2006/relationships/hyperlink" Target="https://www.ref.org.uk/generators/view.php?rid=R00338SQSC" TargetMode="External"/><Relationship Id="rId175" Type="http://schemas.openxmlformats.org/officeDocument/2006/relationships/hyperlink" Target="https://www.ref.org.uk/generators/view.php?rid=R00313SQSC" TargetMode="External"/><Relationship Id="rId196" Type="http://schemas.openxmlformats.org/officeDocument/2006/relationships/hyperlink" Target="https://www.ref.org.uk/generators/view.php?rid=R00273SQSC" TargetMode="External"/><Relationship Id="rId200" Type="http://schemas.openxmlformats.org/officeDocument/2006/relationships/hyperlink" Target="https://www.ref.org.uk/generators/view.php?rid=R00099SQSC" TargetMode="External"/><Relationship Id="rId16" Type="http://schemas.openxmlformats.org/officeDocument/2006/relationships/hyperlink" Target="https://www.ref.org.uk/generators/view.php?rid=T_SOKY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1"/>
  <sheetViews>
    <sheetView tabSelected="1" workbookViewId="0">
      <selection activeCell="O142" sqref="O142"/>
    </sheetView>
  </sheetViews>
  <sheetFormatPr defaultRowHeight="15" x14ac:dyDescent="0.25"/>
  <sheetData>
    <row r="1" spans="1:17" ht="45.75" thickBot="1" x14ac:dyDescent="0.3">
      <c r="A1" s="3"/>
      <c r="B1" s="4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t="s">
        <v>221</v>
      </c>
      <c r="P1" t="s">
        <v>422</v>
      </c>
    </row>
    <row r="2" spans="1:17" ht="30.75" thickBot="1" x14ac:dyDescent="0.3">
      <c r="A2" s="1"/>
      <c r="B2" s="6" t="s">
        <v>13</v>
      </c>
      <c r="C2" s="7" t="s">
        <v>14</v>
      </c>
      <c r="D2" s="7" t="s">
        <v>15</v>
      </c>
      <c r="E2" s="8">
        <v>322000</v>
      </c>
      <c r="F2" s="7" t="s">
        <v>16</v>
      </c>
      <c r="G2" s="7" t="s">
        <v>17</v>
      </c>
      <c r="H2" s="9">
        <v>39430</v>
      </c>
      <c r="I2" s="9">
        <v>39430</v>
      </c>
      <c r="J2" s="10">
        <v>0.21099999999999999</v>
      </c>
      <c r="K2" s="10">
        <v>0.20699999999999999</v>
      </c>
      <c r="L2" s="11">
        <v>45200</v>
      </c>
      <c r="M2" s="8">
        <v>583394</v>
      </c>
      <c r="N2" s="8">
        <v>519807</v>
      </c>
      <c r="O2" t="b">
        <v>1</v>
      </c>
      <c r="P2">
        <f>IF(O2,E2,0)</f>
        <v>322000</v>
      </c>
      <c r="Q2">
        <f>SUM(P2:P201)/1000000</f>
        <v>7.1626260000000004</v>
      </c>
    </row>
    <row r="3" spans="1:17" ht="30.75" thickBot="1" x14ac:dyDescent="0.3">
      <c r="A3" s="1"/>
      <c r="B3" s="6" t="s">
        <v>18</v>
      </c>
      <c r="C3" s="7" t="s">
        <v>19</v>
      </c>
      <c r="D3" s="7" t="s">
        <v>15</v>
      </c>
      <c r="E3" s="8">
        <v>248540</v>
      </c>
      <c r="F3" s="7" t="s">
        <v>16</v>
      </c>
      <c r="G3" s="7" t="s">
        <v>17</v>
      </c>
      <c r="H3" s="9">
        <v>42719</v>
      </c>
      <c r="I3" s="9">
        <v>42719</v>
      </c>
      <c r="J3" s="10">
        <v>0.25600000000000001</v>
      </c>
      <c r="K3" s="10">
        <v>0.24099999999999999</v>
      </c>
      <c r="L3" s="11">
        <v>45200</v>
      </c>
      <c r="M3" s="8">
        <v>524756</v>
      </c>
      <c r="N3" s="8">
        <v>427820</v>
      </c>
      <c r="O3" t="b">
        <v>1</v>
      </c>
      <c r="P3">
        <f t="shared" ref="P3:P66" si="0">IF(O3,E3,0)</f>
        <v>248540</v>
      </c>
    </row>
    <row r="4" spans="1:17" ht="30.75" thickBot="1" x14ac:dyDescent="0.3">
      <c r="A4" s="1"/>
      <c r="B4" s="6" t="s">
        <v>20</v>
      </c>
      <c r="C4" s="7" t="s">
        <v>21</v>
      </c>
      <c r="D4" s="7" t="s">
        <v>15</v>
      </c>
      <c r="E4" s="8">
        <v>235000</v>
      </c>
      <c r="F4" s="7" t="s">
        <v>16</v>
      </c>
      <c r="G4" s="7" t="s">
        <v>22</v>
      </c>
      <c r="H4" s="7"/>
      <c r="I4" s="9">
        <v>44820</v>
      </c>
      <c r="J4" s="10">
        <v>0.189</v>
      </c>
      <c r="K4" s="10">
        <v>0.20599999999999999</v>
      </c>
      <c r="L4" s="11">
        <v>45231</v>
      </c>
      <c r="M4" s="8">
        <v>423494</v>
      </c>
      <c r="N4" s="12"/>
      <c r="O4" t="b">
        <v>1</v>
      </c>
      <c r="P4">
        <f t="shared" si="0"/>
        <v>235000</v>
      </c>
    </row>
    <row r="5" spans="1:17" ht="45.75" thickBot="1" x14ac:dyDescent="0.3">
      <c r="A5" s="1"/>
      <c r="B5" s="6" t="s">
        <v>23</v>
      </c>
      <c r="C5" s="7" t="s">
        <v>24</v>
      </c>
      <c r="D5" s="7" t="s">
        <v>25</v>
      </c>
      <c r="E5" s="8">
        <v>228000</v>
      </c>
      <c r="F5" s="7" t="s">
        <v>16</v>
      </c>
      <c r="G5" s="7" t="s">
        <v>17</v>
      </c>
      <c r="H5" s="9">
        <v>42660</v>
      </c>
      <c r="I5" s="9">
        <v>42660</v>
      </c>
      <c r="J5" s="10">
        <v>0.309</v>
      </c>
      <c r="K5" s="10">
        <v>0.29199999999999998</v>
      </c>
      <c r="L5" s="11">
        <v>45200</v>
      </c>
      <c r="M5" s="8">
        <v>583750</v>
      </c>
      <c r="N5" s="8">
        <v>485122</v>
      </c>
      <c r="O5" t="b">
        <v>1</v>
      </c>
      <c r="P5">
        <f t="shared" si="0"/>
        <v>228000</v>
      </c>
    </row>
    <row r="6" spans="1:17" ht="45.75" thickBot="1" x14ac:dyDescent="0.3">
      <c r="A6" s="1"/>
      <c r="B6" s="6" t="s">
        <v>26</v>
      </c>
      <c r="C6" s="7" t="s">
        <v>27</v>
      </c>
      <c r="D6" s="7" t="s">
        <v>15</v>
      </c>
      <c r="E6" s="8">
        <v>227700</v>
      </c>
      <c r="F6" s="7" t="s">
        <v>16</v>
      </c>
      <c r="G6" s="7" t="s">
        <v>17</v>
      </c>
      <c r="H6" s="9">
        <v>43183</v>
      </c>
      <c r="I6" s="9">
        <v>43183</v>
      </c>
      <c r="J6" s="10">
        <v>0.30399999999999999</v>
      </c>
      <c r="K6" s="10">
        <v>0.28699999999999998</v>
      </c>
      <c r="L6" s="11">
        <v>45170</v>
      </c>
      <c r="M6" s="8">
        <v>573279</v>
      </c>
      <c r="N6" s="8">
        <v>515956</v>
      </c>
      <c r="O6" t="b">
        <v>1</v>
      </c>
      <c r="P6">
        <f t="shared" si="0"/>
        <v>227700</v>
      </c>
    </row>
    <row r="7" spans="1:17" ht="45.75" thickBot="1" x14ac:dyDescent="0.3">
      <c r="A7" s="1"/>
      <c r="B7" s="6" t="s">
        <v>28</v>
      </c>
      <c r="C7" s="7" t="s">
        <v>29</v>
      </c>
      <c r="D7" s="7" t="s">
        <v>15</v>
      </c>
      <c r="E7" s="8">
        <v>217000</v>
      </c>
      <c r="F7" s="7" t="s">
        <v>16</v>
      </c>
      <c r="G7" s="7" t="s">
        <v>17</v>
      </c>
      <c r="H7" s="9">
        <v>40886</v>
      </c>
      <c r="I7" s="9">
        <v>40886</v>
      </c>
      <c r="J7" s="10">
        <v>0.17399999999999999</v>
      </c>
      <c r="K7" s="10">
        <v>0.17299999999999999</v>
      </c>
      <c r="L7" s="11">
        <v>45200</v>
      </c>
      <c r="M7" s="8">
        <v>329009</v>
      </c>
      <c r="N7" s="8">
        <v>289370</v>
      </c>
      <c r="O7" t="b">
        <v>1</v>
      </c>
      <c r="P7">
        <f t="shared" si="0"/>
        <v>217000</v>
      </c>
    </row>
    <row r="8" spans="1:17" ht="45.75" thickBot="1" x14ac:dyDescent="0.3">
      <c r="A8" s="1"/>
      <c r="B8" s="6" t="s">
        <v>30</v>
      </c>
      <c r="C8" s="7" t="s">
        <v>31</v>
      </c>
      <c r="D8" s="7" t="s">
        <v>15</v>
      </c>
      <c r="E8" s="8">
        <v>197700</v>
      </c>
      <c r="F8" s="7" t="s">
        <v>16</v>
      </c>
      <c r="G8" s="7" t="s">
        <v>17</v>
      </c>
      <c r="H8" s="9">
        <v>41122</v>
      </c>
      <c r="I8" s="9">
        <v>41061</v>
      </c>
      <c r="J8" s="10">
        <v>0.308</v>
      </c>
      <c r="K8" s="10">
        <v>0.26100000000000001</v>
      </c>
      <c r="L8" s="11">
        <v>45200</v>
      </c>
      <c r="M8" s="8">
        <v>452419</v>
      </c>
      <c r="N8" s="8">
        <v>387429</v>
      </c>
      <c r="O8" t="b">
        <v>1</v>
      </c>
      <c r="P8">
        <f t="shared" si="0"/>
        <v>197700</v>
      </c>
    </row>
    <row r="9" spans="1:17" ht="45.75" thickBot="1" x14ac:dyDescent="0.3">
      <c r="A9" s="1"/>
      <c r="B9" s="6" t="s">
        <v>32</v>
      </c>
      <c r="C9" s="7" t="s">
        <v>33</v>
      </c>
      <c r="D9" s="7" t="s">
        <v>15</v>
      </c>
      <c r="E9" s="8">
        <v>195900</v>
      </c>
      <c r="F9" s="7" t="s">
        <v>16</v>
      </c>
      <c r="G9" s="7" t="s">
        <v>17</v>
      </c>
      <c r="H9" s="9">
        <v>40925</v>
      </c>
      <c r="I9" s="9">
        <v>40822</v>
      </c>
      <c r="J9" s="10">
        <v>0.27800000000000002</v>
      </c>
      <c r="K9" s="10">
        <v>0.249</v>
      </c>
      <c r="L9" s="11">
        <v>45170</v>
      </c>
      <c r="M9" s="8">
        <v>426833</v>
      </c>
      <c r="N9" s="8">
        <v>408707</v>
      </c>
      <c r="O9" t="b">
        <v>1</v>
      </c>
      <c r="P9">
        <f t="shared" si="0"/>
        <v>195900</v>
      </c>
    </row>
    <row r="10" spans="1:17" ht="45.75" thickBot="1" x14ac:dyDescent="0.3">
      <c r="A10" s="1"/>
      <c r="B10" s="6" t="s">
        <v>34</v>
      </c>
      <c r="C10" s="7" t="s">
        <v>35</v>
      </c>
      <c r="D10" s="7" t="s">
        <v>15</v>
      </c>
      <c r="E10" s="8">
        <v>188600</v>
      </c>
      <c r="F10" s="7" t="s">
        <v>16</v>
      </c>
      <c r="G10" s="7" t="s">
        <v>17</v>
      </c>
      <c r="H10" s="9">
        <v>40729</v>
      </c>
      <c r="I10" s="9">
        <v>40729</v>
      </c>
      <c r="J10" s="10">
        <v>0.186</v>
      </c>
      <c r="K10" s="10">
        <v>0.15</v>
      </c>
      <c r="L10" s="11">
        <v>45170</v>
      </c>
      <c r="M10" s="8">
        <v>248534</v>
      </c>
      <c r="N10" s="8">
        <v>248534</v>
      </c>
      <c r="O10" t="b">
        <v>1</v>
      </c>
      <c r="P10">
        <f t="shared" si="0"/>
        <v>188600</v>
      </c>
    </row>
    <row r="11" spans="1:17" ht="30.75" thickBot="1" x14ac:dyDescent="0.3">
      <c r="A11" s="1"/>
      <c r="B11" s="6" t="s">
        <v>36</v>
      </c>
      <c r="C11" s="7" t="s">
        <v>37</v>
      </c>
      <c r="D11" s="7" t="s">
        <v>15</v>
      </c>
      <c r="E11" s="8">
        <v>173700</v>
      </c>
      <c r="F11" s="7" t="s">
        <v>16</v>
      </c>
      <c r="G11" s="7" t="s">
        <v>38</v>
      </c>
      <c r="H11" s="9">
        <v>43662</v>
      </c>
      <c r="I11" s="9">
        <v>43454</v>
      </c>
      <c r="J11" s="10">
        <v>0.246</v>
      </c>
      <c r="K11" s="10">
        <v>0.16600000000000001</v>
      </c>
      <c r="L11" s="11">
        <v>45231</v>
      </c>
      <c r="M11" s="8">
        <v>252156</v>
      </c>
      <c r="N11" s="12"/>
      <c r="O11" t="b">
        <v>1</v>
      </c>
      <c r="P11">
        <f t="shared" si="0"/>
        <v>173700</v>
      </c>
    </row>
    <row r="12" spans="1:17" ht="30.75" thickBot="1" x14ac:dyDescent="0.3">
      <c r="A12" s="1"/>
      <c r="B12" s="6" t="s">
        <v>39</v>
      </c>
      <c r="C12" s="7" t="s">
        <v>40</v>
      </c>
      <c r="D12" s="7" t="s">
        <v>15</v>
      </c>
      <c r="E12" s="8">
        <v>144000</v>
      </c>
      <c r="F12" s="7" t="s">
        <v>16</v>
      </c>
      <c r="G12" s="7" t="s">
        <v>17</v>
      </c>
      <c r="H12" s="9">
        <v>41298</v>
      </c>
      <c r="I12" s="9">
        <v>41298</v>
      </c>
      <c r="J12" s="10">
        <v>0.28999999999999998</v>
      </c>
      <c r="K12" s="10">
        <v>0.27100000000000002</v>
      </c>
      <c r="L12" s="11">
        <v>45200</v>
      </c>
      <c r="M12" s="8">
        <v>341441</v>
      </c>
      <c r="N12" s="8">
        <v>319220</v>
      </c>
      <c r="O12" t="b">
        <v>1</v>
      </c>
      <c r="P12">
        <f t="shared" si="0"/>
        <v>144000</v>
      </c>
    </row>
    <row r="13" spans="1:17" ht="45.75" thickBot="1" x14ac:dyDescent="0.3">
      <c r="A13" s="2"/>
      <c r="B13" s="6" t="s">
        <v>41</v>
      </c>
      <c r="C13" s="7" t="s">
        <v>42</v>
      </c>
      <c r="D13" s="7" t="s">
        <v>15</v>
      </c>
      <c r="E13" s="8">
        <v>140760</v>
      </c>
      <c r="F13" s="7" t="s">
        <v>16</v>
      </c>
      <c r="G13" s="7" t="s">
        <v>17</v>
      </c>
      <c r="H13" s="9">
        <v>41537</v>
      </c>
      <c r="I13" s="9">
        <v>41537</v>
      </c>
      <c r="J13" s="10">
        <v>0.17399999999999999</v>
      </c>
      <c r="K13" s="10">
        <v>0.18</v>
      </c>
      <c r="L13" s="11">
        <v>45200</v>
      </c>
      <c r="M13" s="8">
        <v>222279</v>
      </c>
      <c r="N13" s="8">
        <v>196494</v>
      </c>
      <c r="O13" t="b">
        <v>1</v>
      </c>
      <c r="P13">
        <f t="shared" si="0"/>
        <v>140760</v>
      </c>
    </row>
    <row r="14" spans="1:17" ht="45.75" thickBot="1" x14ac:dyDescent="0.3">
      <c r="B14" s="6" t="s">
        <v>43</v>
      </c>
      <c r="C14" s="7" t="s">
        <v>44</v>
      </c>
      <c r="D14" s="7" t="s">
        <v>15</v>
      </c>
      <c r="E14" s="8">
        <v>138000</v>
      </c>
      <c r="F14" s="7" t="s">
        <v>16</v>
      </c>
      <c r="G14" s="7" t="s">
        <v>17</v>
      </c>
      <c r="H14" s="9">
        <v>40163</v>
      </c>
      <c r="I14" s="9">
        <v>40163</v>
      </c>
      <c r="J14" s="10">
        <v>0.29399999999999998</v>
      </c>
      <c r="K14" s="10">
        <v>0.249</v>
      </c>
      <c r="L14" s="11">
        <v>45231</v>
      </c>
      <c r="M14" s="8">
        <v>300418</v>
      </c>
      <c r="N14" s="8">
        <v>248124</v>
      </c>
      <c r="O14" t="b">
        <v>1</v>
      </c>
      <c r="P14">
        <f t="shared" si="0"/>
        <v>138000</v>
      </c>
    </row>
    <row r="15" spans="1:17" ht="45.75" thickBot="1" x14ac:dyDescent="0.3">
      <c r="B15" s="6" t="s">
        <v>45</v>
      </c>
      <c r="C15" s="7" t="s">
        <v>46</v>
      </c>
      <c r="D15" s="7" t="s">
        <v>15</v>
      </c>
      <c r="E15" s="8">
        <v>128800</v>
      </c>
      <c r="F15" s="7" t="s">
        <v>16</v>
      </c>
      <c r="G15" s="7" t="s">
        <v>17</v>
      </c>
      <c r="H15" s="9">
        <v>40725</v>
      </c>
      <c r="I15" s="9">
        <v>40725</v>
      </c>
      <c r="J15" s="10">
        <v>0.26700000000000002</v>
      </c>
      <c r="K15" s="10">
        <v>0.246</v>
      </c>
      <c r="L15" s="11">
        <v>45170</v>
      </c>
      <c r="M15" s="8">
        <v>277048</v>
      </c>
      <c r="N15" s="8">
        <v>277048</v>
      </c>
      <c r="O15" t="b">
        <v>1</v>
      </c>
      <c r="P15">
        <f t="shared" si="0"/>
        <v>128800</v>
      </c>
    </row>
    <row r="16" spans="1:17" ht="45.75" thickBot="1" x14ac:dyDescent="0.3">
      <c r="B16" s="6" t="s">
        <v>47</v>
      </c>
      <c r="C16" s="7" t="s">
        <v>48</v>
      </c>
      <c r="D16" s="7" t="s">
        <v>15</v>
      </c>
      <c r="E16" s="8">
        <v>124200</v>
      </c>
      <c r="F16" s="7" t="s">
        <v>16</v>
      </c>
      <c r="G16" s="7" t="s">
        <v>17</v>
      </c>
      <c r="H16" s="9">
        <v>38412</v>
      </c>
      <c r="I16" s="9">
        <v>38412</v>
      </c>
      <c r="J16" s="10">
        <v>0.19</v>
      </c>
      <c r="K16" s="10">
        <v>0.16600000000000001</v>
      </c>
      <c r="L16" s="11">
        <v>45200</v>
      </c>
      <c r="M16" s="8">
        <v>180390</v>
      </c>
      <c r="N16" s="8">
        <v>159421</v>
      </c>
      <c r="O16" t="b">
        <v>1</v>
      </c>
      <c r="P16">
        <f t="shared" si="0"/>
        <v>124200</v>
      </c>
    </row>
    <row r="17" spans="2:16" ht="30.75" thickBot="1" x14ac:dyDescent="0.3">
      <c r="B17" s="6" t="s">
        <v>49</v>
      </c>
      <c r="C17" s="7" t="s">
        <v>50</v>
      </c>
      <c r="D17" s="7" t="s">
        <v>15</v>
      </c>
      <c r="E17" s="8">
        <v>120000</v>
      </c>
      <c r="F17" s="7" t="s">
        <v>16</v>
      </c>
      <c r="G17" s="7" t="s">
        <v>17</v>
      </c>
      <c r="H17" s="9">
        <v>40501</v>
      </c>
      <c r="I17" s="9">
        <v>40501</v>
      </c>
      <c r="J17" s="10">
        <v>0.215</v>
      </c>
      <c r="K17" s="10">
        <v>0.13500000000000001</v>
      </c>
      <c r="L17" s="11">
        <v>45200</v>
      </c>
      <c r="M17" s="8">
        <v>141917</v>
      </c>
      <c r="N17" s="8">
        <v>122871</v>
      </c>
      <c r="O17" t="b">
        <v>1</v>
      </c>
      <c r="P17">
        <f t="shared" si="0"/>
        <v>120000</v>
      </c>
    </row>
    <row r="18" spans="2:16" ht="60.75" thickBot="1" x14ac:dyDescent="0.3">
      <c r="B18" s="6" t="s">
        <v>51</v>
      </c>
      <c r="C18" s="7" t="s">
        <v>52</v>
      </c>
      <c r="D18" s="7" t="s">
        <v>15</v>
      </c>
      <c r="E18" s="8">
        <v>119600</v>
      </c>
      <c r="F18" s="7" t="s">
        <v>16</v>
      </c>
      <c r="G18" s="7" t="s">
        <v>17</v>
      </c>
      <c r="H18" s="9">
        <v>38657</v>
      </c>
      <c r="I18" s="9">
        <v>38657</v>
      </c>
      <c r="J18" s="10">
        <v>0.216</v>
      </c>
      <c r="K18" s="10">
        <v>0.185</v>
      </c>
      <c r="L18" s="11">
        <v>45170</v>
      </c>
      <c r="M18" s="8">
        <v>194117</v>
      </c>
      <c r="N18" s="8">
        <v>194117</v>
      </c>
      <c r="O18" t="b">
        <v>1</v>
      </c>
      <c r="P18">
        <f t="shared" si="0"/>
        <v>119600</v>
      </c>
    </row>
    <row r="19" spans="2:16" ht="30.75" thickBot="1" x14ac:dyDescent="0.3">
      <c r="B19" s="6" t="s">
        <v>53</v>
      </c>
      <c r="C19" s="7" t="s">
        <v>54</v>
      </c>
      <c r="D19" s="7" t="s">
        <v>15</v>
      </c>
      <c r="E19" s="8">
        <v>110400</v>
      </c>
      <c r="F19" s="7" t="s">
        <v>16</v>
      </c>
      <c r="G19" s="7" t="s">
        <v>17</v>
      </c>
      <c r="H19" s="9">
        <v>42796</v>
      </c>
      <c r="I19" s="9">
        <v>42783</v>
      </c>
      <c r="J19" s="10">
        <v>0.20699999999999999</v>
      </c>
      <c r="K19" s="10">
        <v>0.159</v>
      </c>
      <c r="L19" s="11">
        <v>45170</v>
      </c>
      <c r="M19" s="8">
        <v>153744</v>
      </c>
      <c r="N19" s="8">
        <v>138371</v>
      </c>
      <c r="O19" t="b">
        <v>1</v>
      </c>
      <c r="P19">
        <f t="shared" si="0"/>
        <v>110400</v>
      </c>
    </row>
    <row r="20" spans="2:16" ht="30.75" thickBot="1" x14ac:dyDescent="0.3">
      <c r="B20" s="6" t="s">
        <v>55</v>
      </c>
      <c r="C20" s="7" t="s">
        <v>56</v>
      </c>
      <c r="D20" s="7" t="s">
        <v>15</v>
      </c>
      <c r="E20" s="8">
        <v>110080</v>
      </c>
      <c r="F20" s="7" t="s">
        <v>16</v>
      </c>
      <c r="G20" s="7" t="s">
        <v>17</v>
      </c>
      <c r="H20" s="9">
        <v>42775</v>
      </c>
      <c r="I20" s="9">
        <v>42775</v>
      </c>
      <c r="J20" s="10">
        <v>0.23</v>
      </c>
      <c r="K20" s="10">
        <v>0.215</v>
      </c>
      <c r="L20" s="11">
        <v>45200</v>
      </c>
      <c r="M20" s="8">
        <v>206961</v>
      </c>
      <c r="N20" s="8">
        <v>141978</v>
      </c>
      <c r="O20" t="b">
        <v>1</v>
      </c>
      <c r="P20">
        <f t="shared" si="0"/>
        <v>110080</v>
      </c>
    </row>
    <row r="21" spans="2:16" ht="45.75" thickBot="1" x14ac:dyDescent="0.3">
      <c r="B21" s="6" t="s">
        <v>57</v>
      </c>
      <c r="C21" s="7" t="s">
        <v>58</v>
      </c>
      <c r="D21" s="7" t="s">
        <v>25</v>
      </c>
      <c r="E21" s="8">
        <v>95680</v>
      </c>
      <c r="F21" s="7" t="s">
        <v>16</v>
      </c>
      <c r="G21" s="7" t="s">
        <v>38</v>
      </c>
      <c r="H21" s="9">
        <v>44140</v>
      </c>
      <c r="I21" s="9">
        <v>43769</v>
      </c>
      <c r="J21" s="10">
        <v>0.26800000000000002</v>
      </c>
      <c r="K21" s="10">
        <v>0.27</v>
      </c>
      <c r="L21" s="11">
        <v>45231</v>
      </c>
      <c r="M21" s="8">
        <v>226274</v>
      </c>
      <c r="N21" s="12"/>
      <c r="O21" t="b">
        <v>1</v>
      </c>
      <c r="P21">
        <f t="shared" si="0"/>
        <v>95680</v>
      </c>
    </row>
    <row r="22" spans="2:16" ht="45.75" thickBot="1" x14ac:dyDescent="0.3">
      <c r="B22" s="6" t="s">
        <v>59</v>
      </c>
      <c r="C22" s="7" t="s">
        <v>60</v>
      </c>
      <c r="D22" s="7" t="s">
        <v>15</v>
      </c>
      <c r="E22" s="8">
        <v>94050</v>
      </c>
      <c r="F22" s="7" t="s">
        <v>16</v>
      </c>
      <c r="G22" s="7" t="s">
        <v>17</v>
      </c>
      <c r="H22" s="9">
        <v>42626</v>
      </c>
      <c r="I22" s="9">
        <v>42626</v>
      </c>
      <c r="J22" s="10">
        <v>0.32</v>
      </c>
      <c r="K22" s="10">
        <v>0.30399999999999999</v>
      </c>
      <c r="L22" s="11">
        <v>45170</v>
      </c>
      <c r="M22" s="8">
        <v>250524</v>
      </c>
      <c r="N22" s="8">
        <v>225474</v>
      </c>
      <c r="O22" t="b">
        <v>0</v>
      </c>
      <c r="P22">
        <f t="shared" si="0"/>
        <v>0</v>
      </c>
    </row>
    <row r="23" spans="2:16" ht="60.75" thickBot="1" x14ac:dyDescent="0.3">
      <c r="B23" s="6" t="s">
        <v>61</v>
      </c>
      <c r="C23" s="7" t="s">
        <v>62</v>
      </c>
      <c r="D23" s="7" t="s">
        <v>15</v>
      </c>
      <c r="E23" s="8">
        <v>93000</v>
      </c>
      <c r="F23" s="7" t="s">
        <v>16</v>
      </c>
      <c r="G23" s="7" t="s">
        <v>22</v>
      </c>
      <c r="H23" s="9">
        <v>44937</v>
      </c>
      <c r="I23" s="9">
        <v>44881</v>
      </c>
      <c r="J23" s="10">
        <v>0.112</v>
      </c>
      <c r="K23" s="10">
        <v>0.112</v>
      </c>
      <c r="L23" s="11">
        <v>45231</v>
      </c>
      <c r="M23" s="8">
        <v>90369</v>
      </c>
      <c r="N23" s="12"/>
      <c r="O23" t="b">
        <v>1</v>
      </c>
      <c r="P23">
        <f t="shared" si="0"/>
        <v>93000</v>
      </c>
    </row>
    <row r="24" spans="2:16" ht="45.75" thickBot="1" x14ac:dyDescent="0.3">
      <c r="B24" s="6" t="s">
        <v>63</v>
      </c>
      <c r="C24" s="7" t="s">
        <v>64</v>
      </c>
      <c r="D24" s="7" t="s">
        <v>15</v>
      </c>
      <c r="E24" s="8">
        <v>92000</v>
      </c>
      <c r="F24" s="7" t="s">
        <v>16</v>
      </c>
      <c r="G24" s="7" t="s">
        <v>17</v>
      </c>
      <c r="H24" s="9">
        <v>38626</v>
      </c>
      <c r="I24" s="9">
        <v>38626</v>
      </c>
      <c r="J24" s="10">
        <v>0.26200000000000001</v>
      </c>
      <c r="K24" s="10">
        <v>0.192</v>
      </c>
      <c r="L24" s="11">
        <v>45231</v>
      </c>
      <c r="M24" s="8">
        <v>154755</v>
      </c>
      <c r="N24" s="8">
        <v>128549</v>
      </c>
      <c r="O24" t="b">
        <v>1</v>
      </c>
      <c r="P24">
        <f t="shared" si="0"/>
        <v>92000</v>
      </c>
    </row>
    <row r="25" spans="2:16" ht="30.75" thickBot="1" x14ac:dyDescent="0.3">
      <c r="B25" s="6" t="s">
        <v>65</v>
      </c>
      <c r="C25" s="7" t="s">
        <v>66</v>
      </c>
      <c r="D25" s="7" t="s">
        <v>15</v>
      </c>
      <c r="E25" s="8">
        <v>88400</v>
      </c>
      <c r="F25" s="7" t="s">
        <v>16</v>
      </c>
      <c r="G25" s="7" t="s">
        <v>38</v>
      </c>
      <c r="H25" s="9">
        <v>43385</v>
      </c>
      <c r="I25" s="9">
        <v>43552</v>
      </c>
      <c r="J25" s="10">
        <v>0.26200000000000001</v>
      </c>
      <c r="K25" s="10">
        <v>0.20799999999999999</v>
      </c>
      <c r="L25" s="11">
        <v>45231</v>
      </c>
      <c r="M25" s="8">
        <v>158914</v>
      </c>
      <c r="N25" s="12"/>
      <c r="O25" t="b">
        <v>1</v>
      </c>
      <c r="P25">
        <f t="shared" si="0"/>
        <v>88400</v>
      </c>
    </row>
    <row r="26" spans="2:16" ht="60.75" thickBot="1" x14ac:dyDescent="0.3">
      <c r="B26" s="6" t="s">
        <v>67</v>
      </c>
      <c r="C26" s="7" t="s">
        <v>68</v>
      </c>
      <c r="D26" s="7" t="s">
        <v>15</v>
      </c>
      <c r="E26" s="8">
        <v>86400</v>
      </c>
      <c r="F26" s="7" t="s">
        <v>16</v>
      </c>
      <c r="G26" s="7" t="s">
        <v>22</v>
      </c>
      <c r="H26" s="9">
        <v>44893</v>
      </c>
      <c r="I26" s="9">
        <v>44849</v>
      </c>
      <c r="J26" s="10">
        <v>0.158</v>
      </c>
      <c r="K26" s="10">
        <v>0.16</v>
      </c>
      <c r="L26" s="11">
        <v>45231</v>
      </c>
      <c r="M26" s="8">
        <v>120939</v>
      </c>
      <c r="N26" s="12"/>
      <c r="O26" t="b">
        <v>1</v>
      </c>
      <c r="P26">
        <f t="shared" si="0"/>
        <v>86400</v>
      </c>
    </row>
    <row r="27" spans="2:16" ht="30.75" thickBot="1" x14ac:dyDescent="0.3">
      <c r="B27" s="6" t="s">
        <v>69</v>
      </c>
      <c r="C27" s="7" t="s">
        <v>70</v>
      </c>
      <c r="D27" s="7" t="s">
        <v>15</v>
      </c>
      <c r="E27" s="8">
        <v>82000</v>
      </c>
      <c r="F27" s="7" t="s">
        <v>16</v>
      </c>
      <c r="G27" s="7" t="s">
        <v>22</v>
      </c>
      <c r="H27" s="9">
        <v>44547</v>
      </c>
      <c r="I27" s="9">
        <v>44415</v>
      </c>
      <c r="J27" s="10">
        <v>0.251</v>
      </c>
      <c r="K27" s="10">
        <v>0.221</v>
      </c>
      <c r="L27" s="11">
        <v>45231</v>
      </c>
      <c r="M27" s="8">
        <v>157955</v>
      </c>
      <c r="N27" s="12"/>
      <c r="O27" t="b">
        <v>1</v>
      </c>
      <c r="P27">
        <f t="shared" si="0"/>
        <v>82000</v>
      </c>
    </row>
    <row r="28" spans="2:16" ht="30.75" thickBot="1" x14ac:dyDescent="0.3">
      <c r="B28" s="6" t="s">
        <v>71</v>
      </c>
      <c r="C28" s="7" t="s">
        <v>72</v>
      </c>
      <c r="D28" s="7" t="s">
        <v>15</v>
      </c>
      <c r="E28" s="8">
        <v>75900</v>
      </c>
      <c r="F28" s="7" t="s">
        <v>16</v>
      </c>
      <c r="G28" s="7" t="s">
        <v>17</v>
      </c>
      <c r="H28" s="9">
        <v>41610</v>
      </c>
      <c r="I28" s="9">
        <v>41610</v>
      </c>
      <c r="J28" s="10">
        <v>0.28499999999999998</v>
      </c>
      <c r="K28" s="10">
        <v>0.223</v>
      </c>
      <c r="L28" s="11">
        <v>45231</v>
      </c>
      <c r="M28" s="8">
        <v>148124</v>
      </c>
      <c r="N28" s="8">
        <v>104346</v>
      </c>
      <c r="O28" t="b">
        <v>1</v>
      </c>
      <c r="P28">
        <f t="shared" si="0"/>
        <v>75900</v>
      </c>
    </row>
    <row r="29" spans="2:16" ht="30.75" thickBot="1" x14ac:dyDescent="0.3">
      <c r="B29" s="6" t="s">
        <v>73</v>
      </c>
      <c r="C29" s="7" t="s">
        <v>74</v>
      </c>
      <c r="D29" s="7" t="s">
        <v>15</v>
      </c>
      <c r="E29" s="8">
        <v>73600</v>
      </c>
      <c r="F29" s="7" t="s">
        <v>16</v>
      </c>
      <c r="G29" s="7" t="s">
        <v>17</v>
      </c>
      <c r="H29" s="9">
        <v>42600</v>
      </c>
      <c r="I29" s="9">
        <v>42600</v>
      </c>
      <c r="J29" s="10">
        <v>0.23</v>
      </c>
      <c r="K29" s="10">
        <v>0.24</v>
      </c>
      <c r="L29" s="11">
        <v>45200</v>
      </c>
      <c r="M29" s="8">
        <v>154879</v>
      </c>
      <c r="N29" s="8">
        <v>124975</v>
      </c>
      <c r="O29" t="b">
        <v>1</v>
      </c>
      <c r="P29">
        <f t="shared" si="0"/>
        <v>73600</v>
      </c>
    </row>
    <row r="30" spans="2:16" ht="30.75" thickBot="1" x14ac:dyDescent="0.3">
      <c r="B30" s="6" t="s">
        <v>75</v>
      </c>
      <c r="C30" s="7" t="s">
        <v>76</v>
      </c>
      <c r="D30" s="7" t="s">
        <v>77</v>
      </c>
      <c r="E30" s="8">
        <v>73600</v>
      </c>
      <c r="F30" s="7" t="s">
        <v>16</v>
      </c>
      <c r="G30" s="7" t="s">
        <v>17</v>
      </c>
      <c r="H30" s="9">
        <v>40842</v>
      </c>
      <c r="I30" s="9">
        <v>40842</v>
      </c>
      <c r="J30" s="10">
        <v>0.24399999999999999</v>
      </c>
      <c r="K30" s="10">
        <v>0.23799999999999999</v>
      </c>
      <c r="L30" s="11">
        <v>45200</v>
      </c>
      <c r="M30" s="8">
        <v>153303</v>
      </c>
      <c r="N30" s="8">
        <v>140380</v>
      </c>
      <c r="O30" t="b">
        <v>0</v>
      </c>
      <c r="P30">
        <f t="shared" si="0"/>
        <v>0</v>
      </c>
    </row>
    <row r="31" spans="2:16" ht="75.75" thickBot="1" x14ac:dyDescent="0.3">
      <c r="B31" s="6" t="s">
        <v>78</v>
      </c>
      <c r="C31" s="7" t="s">
        <v>79</v>
      </c>
      <c r="D31" s="7" t="s">
        <v>15</v>
      </c>
      <c r="E31" s="8">
        <v>72000</v>
      </c>
      <c r="F31" s="7" t="s">
        <v>16</v>
      </c>
      <c r="G31" s="7" t="s">
        <v>17</v>
      </c>
      <c r="H31" s="9">
        <v>38961</v>
      </c>
      <c r="I31" s="9">
        <v>38961</v>
      </c>
      <c r="J31" s="10">
        <v>0.253</v>
      </c>
      <c r="K31" s="10">
        <v>0.17499999999999999</v>
      </c>
      <c r="L31" s="11">
        <v>45231</v>
      </c>
      <c r="M31" s="8">
        <v>110237</v>
      </c>
      <c r="N31" s="8">
        <v>91544</v>
      </c>
      <c r="O31" t="b">
        <v>1</v>
      </c>
      <c r="P31">
        <f t="shared" si="0"/>
        <v>72000</v>
      </c>
    </row>
    <row r="32" spans="2:16" ht="45.75" thickBot="1" x14ac:dyDescent="0.3">
      <c r="B32" s="6" t="s">
        <v>80</v>
      </c>
      <c r="C32" s="7" t="s">
        <v>81</v>
      </c>
      <c r="D32" s="7" t="s">
        <v>15</v>
      </c>
      <c r="E32" s="8">
        <v>71750</v>
      </c>
      <c r="F32" s="7" t="s">
        <v>16</v>
      </c>
      <c r="G32" s="7" t="s">
        <v>17</v>
      </c>
      <c r="H32" s="9">
        <v>40890</v>
      </c>
      <c r="I32" s="9">
        <v>40861</v>
      </c>
      <c r="J32" s="10">
        <v>0.27300000000000002</v>
      </c>
      <c r="K32" s="10">
        <v>0.249</v>
      </c>
      <c r="L32" s="11">
        <v>45170</v>
      </c>
      <c r="M32" s="8">
        <v>156657</v>
      </c>
      <c r="N32" s="8">
        <v>156657</v>
      </c>
      <c r="O32" t="b">
        <v>1</v>
      </c>
      <c r="P32">
        <f t="shared" si="0"/>
        <v>71750</v>
      </c>
    </row>
    <row r="33" spans="2:16" ht="60.75" thickBot="1" x14ac:dyDescent="0.3">
      <c r="B33" s="6" t="s">
        <v>82</v>
      </c>
      <c r="C33" s="7" t="s">
        <v>83</v>
      </c>
      <c r="D33" s="7" t="s">
        <v>15</v>
      </c>
      <c r="E33" s="8">
        <v>69460</v>
      </c>
      <c r="F33" s="7" t="s">
        <v>16</v>
      </c>
      <c r="G33" s="7" t="s">
        <v>17</v>
      </c>
      <c r="H33" s="9">
        <v>42643</v>
      </c>
      <c r="I33" s="9">
        <v>42643</v>
      </c>
      <c r="J33" s="10">
        <v>0.26</v>
      </c>
      <c r="K33" s="10">
        <v>0.219</v>
      </c>
      <c r="L33" s="11">
        <v>45231</v>
      </c>
      <c r="M33" s="8">
        <v>133255</v>
      </c>
      <c r="N33" s="8">
        <v>96086</v>
      </c>
      <c r="O33" t="b">
        <v>1</v>
      </c>
      <c r="P33">
        <f t="shared" si="0"/>
        <v>69460</v>
      </c>
    </row>
    <row r="34" spans="2:16" ht="45.75" thickBot="1" x14ac:dyDescent="0.3">
      <c r="B34" s="6" t="s">
        <v>84</v>
      </c>
      <c r="C34" s="7" t="s">
        <v>85</v>
      </c>
      <c r="D34" s="7" t="s">
        <v>15</v>
      </c>
      <c r="E34" s="8">
        <v>69000</v>
      </c>
      <c r="F34" s="7" t="s">
        <v>16</v>
      </c>
      <c r="G34" s="7" t="s">
        <v>17</v>
      </c>
      <c r="H34" s="9">
        <v>41626</v>
      </c>
      <c r="I34" s="9">
        <v>41626</v>
      </c>
      <c r="J34" s="10">
        <v>0.223</v>
      </c>
      <c r="K34" s="10">
        <v>0.16400000000000001</v>
      </c>
      <c r="L34" s="11">
        <v>45200</v>
      </c>
      <c r="M34" s="8">
        <v>98946</v>
      </c>
      <c r="N34" s="8">
        <v>80911</v>
      </c>
      <c r="O34" t="b">
        <v>1</v>
      </c>
      <c r="P34">
        <f t="shared" si="0"/>
        <v>69000</v>
      </c>
    </row>
    <row r="35" spans="2:16" ht="30.75" thickBot="1" x14ac:dyDescent="0.3">
      <c r="B35" s="6" t="s">
        <v>86</v>
      </c>
      <c r="C35" s="7" t="s">
        <v>87</v>
      </c>
      <c r="D35" s="7" t="s">
        <v>88</v>
      </c>
      <c r="E35" s="8">
        <v>68000</v>
      </c>
      <c r="F35" s="7" t="s">
        <v>16</v>
      </c>
      <c r="G35" s="7" t="s">
        <v>17</v>
      </c>
      <c r="H35" s="9">
        <v>41530</v>
      </c>
      <c r="I35" s="9">
        <v>41530</v>
      </c>
      <c r="J35" s="10">
        <v>0.27200000000000002</v>
      </c>
      <c r="K35" s="10">
        <v>0.253</v>
      </c>
      <c r="L35" s="11">
        <v>45170</v>
      </c>
      <c r="M35" s="8">
        <v>150779</v>
      </c>
      <c r="N35" s="8">
        <v>150779</v>
      </c>
      <c r="O35" t="b">
        <v>1</v>
      </c>
      <c r="P35">
        <f t="shared" si="0"/>
        <v>68000</v>
      </c>
    </row>
    <row r="36" spans="2:16" ht="30.75" thickBot="1" x14ac:dyDescent="0.3">
      <c r="B36" s="6" t="s">
        <v>89</v>
      </c>
      <c r="C36" s="7" t="s">
        <v>90</v>
      </c>
      <c r="D36" s="7" t="s">
        <v>15</v>
      </c>
      <c r="E36" s="8">
        <v>67650</v>
      </c>
      <c r="F36" s="7" t="s">
        <v>16</v>
      </c>
      <c r="G36" s="7" t="s">
        <v>17</v>
      </c>
      <c r="H36" s="9">
        <v>42181</v>
      </c>
      <c r="I36" s="9">
        <v>42181</v>
      </c>
      <c r="J36" s="10">
        <v>0.22500000000000001</v>
      </c>
      <c r="K36" s="10">
        <v>0.18099999999999999</v>
      </c>
      <c r="L36" s="11">
        <v>45170</v>
      </c>
      <c r="M36" s="8">
        <v>107108</v>
      </c>
      <c r="N36" s="8">
        <v>96398</v>
      </c>
      <c r="O36" t="b">
        <v>1</v>
      </c>
      <c r="P36">
        <f t="shared" si="0"/>
        <v>67650</v>
      </c>
    </row>
    <row r="37" spans="2:16" ht="30.75" thickBot="1" x14ac:dyDescent="0.3">
      <c r="B37" s="6" t="s">
        <v>91</v>
      </c>
      <c r="C37" s="7" t="s">
        <v>92</v>
      </c>
      <c r="D37" s="7" t="s">
        <v>15</v>
      </c>
      <c r="E37" s="8">
        <v>67500</v>
      </c>
      <c r="F37" s="7" t="s">
        <v>16</v>
      </c>
      <c r="G37" s="7" t="s">
        <v>17</v>
      </c>
      <c r="H37" s="9">
        <v>39613</v>
      </c>
      <c r="I37" s="9">
        <v>39613</v>
      </c>
      <c r="J37" s="10">
        <v>0.27600000000000002</v>
      </c>
      <c r="K37" s="10">
        <v>0.27600000000000002</v>
      </c>
      <c r="L37" s="11">
        <v>45231</v>
      </c>
      <c r="M37" s="8">
        <v>163271</v>
      </c>
      <c r="N37" s="8">
        <v>128554</v>
      </c>
      <c r="O37" t="b">
        <v>1</v>
      </c>
      <c r="P37">
        <f t="shared" si="0"/>
        <v>67500</v>
      </c>
    </row>
    <row r="38" spans="2:16" ht="30.75" thickBot="1" x14ac:dyDescent="0.3">
      <c r="B38" s="6" t="s">
        <v>93</v>
      </c>
      <c r="C38" s="7" t="s">
        <v>94</v>
      </c>
      <c r="D38" s="7" t="s">
        <v>15</v>
      </c>
      <c r="E38" s="8">
        <v>67200</v>
      </c>
      <c r="F38" s="7" t="s">
        <v>16</v>
      </c>
      <c r="G38" s="7" t="s">
        <v>22</v>
      </c>
      <c r="H38" s="9">
        <v>44958</v>
      </c>
      <c r="I38" s="9">
        <v>44903</v>
      </c>
      <c r="J38" s="12"/>
      <c r="K38" s="12"/>
      <c r="L38" s="11">
        <v>45231</v>
      </c>
      <c r="M38" s="8">
        <v>93772</v>
      </c>
      <c r="N38" s="12"/>
      <c r="O38" t="b">
        <v>1</v>
      </c>
      <c r="P38">
        <f t="shared" si="0"/>
        <v>67200</v>
      </c>
    </row>
    <row r="39" spans="2:16" ht="45.75" thickBot="1" x14ac:dyDescent="0.3">
      <c r="B39" s="6" t="s">
        <v>95</v>
      </c>
      <c r="C39" s="7" t="s">
        <v>96</v>
      </c>
      <c r="D39" s="7" t="s">
        <v>15</v>
      </c>
      <c r="E39" s="8">
        <v>66700</v>
      </c>
      <c r="F39" s="7" t="s">
        <v>16</v>
      </c>
      <c r="G39" s="7" t="s">
        <v>17</v>
      </c>
      <c r="H39" s="9">
        <v>41698</v>
      </c>
      <c r="I39" s="9">
        <v>41589</v>
      </c>
      <c r="J39" s="10">
        <v>0.27</v>
      </c>
      <c r="K39" s="10">
        <v>0.17100000000000001</v>
      </c>
      <c r="L39" s="11">
        <v>45231</v>
      </c>
      <c r="M39" s="8">
        <v>99796</v>
      </c>
      <c r="N39" s="8">
        <v>80162</v>
      </c>
      <c r="O39" t="b">
        <v>1</v>
      </c>
      <c r="P39">
        <f t="shared" si="0"/>
        <v>66700</v>
      </c>
    </row>
    <row r="40" spans="2:16" ht="30.75" thickBot="1" x14ac:dyDescent="0.3">
      <c r="B40" s="6" t="s">
        <v>97</v>
      </c>
      <c r="C40" s="7" t="s">
        <v>98</v>
      </c>
      <c r="D40" s="7" t="s">
        <v>88</v>
      </c>
      <c r="E40" s="8">
        <v>66000</v>
      </c>
      <c r="F40" s="7" t="s">
        <v>16</v>
      </c>
      <c r="G40" s="7" t="s">
        <v>17</v>
      </c>
      <c r="H40" s="9">
        <v>40695</v>
      </c>
      <c r="I40" s="9">
        <v>40695</v>
      </c>
      <c r="J40" s="10">
        <v>0.23100000000000001</v>
      </c>
      <c r="K40" s="10">
        <v>0.19500000000000001</v>
      </c>
      <c r="L40" s="11">
        <v>45200</v>
      </c>
      <c r="M40" s="8">
        <v>112966</v>
      </c>
      <c r="N40" s="8">
        <v>103478</v>
      </c>
      <c r="O40" t="b">
        <v>0</v>
      </c>
      <c r="P40">
        <f t="shared" si="0"/>
        <v>0</v>
      </c>
    </row>
    <row r="41" spans="2:16" ht="60.75" thickBot="1" x14ac:dyDescent="0.3">
      <c r="B41" s="6" t="s">
        <v>99</v>
      </c>
      <c r="C41" s="7" t="s">
        <v>100</v>
      </c>
      <c r="D41" s="7" t="s">
        <v>15</v>
      </c>
      <c r="E41" s="8">
        <v>65050</v>
      </c>
      <c r="F41" s="7" t="s">
        <v>16</v>
      </c>
      <c r="G41" s="7" t="s">
        <v>17</v>
      </c>
      <c r="H41" s="9">
        <v>42418</v>
      </c>
      <c r="I41" s="9">
        <v>42418</v>
      </c>
      <c r="J41" s="10">
        <v>0.19700000000000001</v>
      </c>
      <c r="K41" s="10">
        <v>0.17</v>
      </c>
      <c r="L41" s="11">
        <v>45200</v>
      </c>
      <c r="M41" s="8">
        <v>96811</v>
      </c>
      <c r="N41" s="8">
        <v>81217</v>
      </c>
      <c r="O41" t="b">
        <v>1</v>
      </c>
      <c r="P41">
        <f t="shared" si="0"/>
        <v>65050</v>
      </c>
    </row>
    <row r="42" spans="2:16" ht="45.75" thickBot="1" x14ac:dyDescent="0.3">
      <c r="B42" s="6" t="s">
        <v>101</v>
      </c>
      <c r="C42" s="7" t="s">
        <v>102</v>
      </c>
      <c r="D42" s="7" t="s">
        <v>15</v>
      </c>
      <c r="E42" s="8">
        <v>65000</v>
      </c>
      <c r="F42" s="7" t="s">
        <v>16</v>
      </c>
      <c r="G42" s="7" t="s">
        <v>17</v>
      </c>
      <c r="H42" s="9">
        <v>39417</v>
      </c>
      <c r="I42" s="9">
        <v>39356</v>
      </c>
      <c r="J42" s="10">
        <v>0.28100000000000003</v>
      </c>
      <c r="K42" s="10">
        <v>0.248</v>
      </c>
      <c r="L42" s="11">
        <v>45231</v>
      </c>
      <c r="M42" s="8">
        <v>140949</v>
      </c>
      <c r="N42" s="8">
        <v>115042</v>
      </c>
      <c r="O42" t="b">
        <v>1</v>
      </c>
      <c r="P42">
        <f t="shared" si="0"/>
        <v>65000</v>
      </c>
    </row>
    <row r="43" spans="2:16" ht="45.75" thickBot="1" x14ac:dyDescent="0.3">
      <c r="B43" s="6" t="s">
        <v>103</v>
      </c>
      <c r="C43" s="7" t="s">
        <v>104</v>
      </c>
      <c r="D43" s="7" t="s">
        <v>88</v>
      </c>
      <c r="E43" s="8">
        <v>65000</v>
      </c>
      <c r="F43" s="7" t="s">
        <v>16</v>
      </c>
      <c r="G43" s="7" t="s">
        <v>17</v>
      </c>
      <c r="H43" s="9">
        <v>39600</v>
      </c>
      <c r="I43" s="9">
        <v>39600</v>
      </c>
      <c r="J43" s="10">
        <v>0.27500000000000002</v>
      </c>
      <c r="K43" s="10">
        <v>0.25900000000000001</v>
      </c>
      <c r="L43" s="11">
        <v>45231</v>
      </c>
      <c r="M43" s="8">
        <v>147668</v>
      </c>
      <c r="N43" s="8">
        <v>122020</v>
      </c>
      <c r="O43" t="b">
        <v>0</v>
      </c>
      <c r="P43">
        <f t="shared" si="0"/>
        <v>0</v>
      </c>
    </row>
    <row r="44" spans="2:16" ht="45.75" thickBot="1" x14ac:dyDescent="0.3">
      <c r="B44" s="6" t="s">
        <v>105</v>
      </c>
      <c r="C44" s="7" t="s">
        <v>106</v>
      </c>
      <c r="D44" s="7" t="s">
        <v>15</v>
      </c>
      <c r="E44" s="8">
        <v>64400</v>
      </c>
      <c r="F44" s="7" t="s">
        <v>16</v>
      </c>
      <c r="G44" s="7" t="s">
        <v>17</v>
      </c>
      <c r="H44" s="9">
        <v>38657</v>
      </c>
      <c r="I44" s="9">
        <v>38657</v>
      </c>
      <c r="J44" s="10">
        <v>0.31</v>
      </c>
      <c r="K44" s="10">
        <v>0.23400000000000001</v>
      </c>
      <c r="L44" s="11">
        <v>45231</v>
      </c>
      <c r="M44" s="8">
        <v>131753</v>
      </c>
      <c r="N44" s="8">
        <v>103788</v>
      </c>
      <c r="O44" t="b">
        <v>1</v>
      </c>
      <c r="P44">
        <f t="shared" si="0"/>
        <v>64400</v>
      </c>
    </row>
    <row r="45" spans="2:16" ht="45.75" thickBot="1" x14ac:dyDescent="0.3">
      <c r="B45" s="6" t="s">
        <v>107</v>
      </c>
      <c r="C45" s="7" t="s">
        <v>108</v>
      </c>
      <c r="D45" s="7" t="s">
        <v>15</v>
      </c>
      <c r="E45" s="8">
        <v>62500</v>
      </c>
      <c r="F45" s="7" t="s">
        <v>16</v>
      </c>
      <c r="G45" s="7" t="s">
        <v>17</v>
      </c>
      <c r="H45" s="9">
        <v>37895</v>
      </c>
      <c r="I45" s="9">
        <v>37895</v>
      </c>
      <c r="J45" s="10">
        <v>0.224</v>
      </c>
      <c r="K45" s="10">
        <v>0.14099999999999999</v>
      </c>
      <c r="L45" s="11">
        <v>45231</v>
      </c>
      <c r="M45" s="8">
        <v>77170</v>
      </c>
      <c r="N45" s="8">
        <v>63961</v>
      </c>
      <c r="O45" t="b">
        <v>1</v>
      </c>
      <c r="P45">
        <f t="shared" si="0"/>
        <v>62500</v>
      </c>
    </row>
    <row r="46" spans="2:16" ht="30.75" thickBot="1" x14ac:dyDescent="0.3">
      <c r="B46" s="6" t="s">
        <v>109</v>
      </c>
      <c r="C46" s="7" t="s">
        <v>110</v>
      </c>
      <c r="D46" s="7" t="s">
        <v>15</v>
      </c>
      <c r="E46" s="8">
        <v>62400</v>
      </c>
      <c r="F46" s="7" t="s">
        <v>16</v>
      </c>
      <c r="G46" s="7" t="s">
        <v>22</v>
      </c>
      <c r="H46" s="9">
        <v>44743</v>
      </c>
      <c r="I46" s="9">
        <v>44719</v>
      </c>
      <c r="J46" s="10">
        <v>0.222</v>
      </c>
      <c r="K46" s="10">
        <v>0.214</v>
      </c>
      <c r="L46" s="11">
        <v>45231</v>
      </c>
      <c r="M46" s="8">
        <v>117174</v>
      </c>
      <c r="N46" s="12"/>
      <c r="O46" t="b">
        <v>1</v>
      </c>
      <c r="P46">
        <f t="shared" si="0"/>
        <v>62400</v>
      </c>
    </row>
    <row r="47" spans="2:16" ht="75.75" thickBot="1" x14ac:dyDescent="0.3">
      <c r="B47" s="6" t="s">
        <v>111</v>
      </c>
      <c r="C47" s="7" t="s">
        <v>112</v>
      </c>
      <c r="D47" s="7" t="s">
        <v>15</v>
      </c>
      <c r="E47" s="8">
        <v>61500</v>
      </c>
      <c r="F47" s="7" t="s">
        <v>16</v>
      </c>
      <c r="G47" s="7" t="s">
        <v>17</v>
      </c>
      <c r="H47" s="9">
        <v>42919</v>
      </c>
      <c r="I47" s="9">
        <v>42919</v>
      </c>
      <c r="J47" s="10">
        <v>0.33200000000000002</v>
      </c>
      <c r="K47" s="10">
        <v>0.28000000000000003</v>
      </c>
      <c r="L47" s="11">
        <v>45231</v>
      </c>
      <c r="M47" s="8">
        <v>150880</v>
      </c>
      <c r="N47" s="8">
        <v>101281</v>
      </c>
      <c r="O47" t="b">
        <v>1</v>
      </c>
      <c r="P47">
        <f t="shared" si="0"/>
        <v>61500</v>
      </c>
    </row>
    <row r="48" spans="2:16" ht="45.75" thickBot="1" x14ac:dyDescent="0.3">
      <c r="B48" s="6" t="s">
        <v>113</v>
      </c>
      <c r="C48" s="7" t="s">
        <v>114</v>
      </c>
      <c r="D48" s="7" t="s">
        <v>15</v>
      </c>
      <c r="E48" s="8">
        <v>60800</v>
      </c>
      <c r="F48" s="7" t="s">
        <v>16</v>
      </c>
      <c r="G48" s="7" t="s">
        <v>17</v>
      </c>
      <c r="H48" s="9">
        <v>43033</v>
      </c>
      <c r="I48" s="9">
        <v>43033</v>
      </c>
      <c r="J48" s="10">
        <v>0.40400000000000003</v>
      </c>
      <c r="K48" s="10">
        <v>0.32800000000000001</v>
      </c>
      <c r="L48" s="11">
        <v>45231</v>
      </c>
      <c r="M48" s="8">
        <v>174566</v>
      </c>
      <c r="N48" s="8">
        <v>125729</v>
      </c>
      <c r="O48" t="b">
        <v>1</v>
      </c>
      <c r="P48">
        <f t="shared" si="0"/>
        <v>60800</v>
      </c>
    </row>
    <row r="49" spans="2:16" ht="30.75" thickBot="1" x14ac:dyDescent="0.3">
      <c r="B49" s="6" t="s">
        <v>115</v>
      </c>
      <c r="C49" s="7" t="s">
        <v>116</v>
      </c>
      <c r="D49" s="7" t="s">
        <v>15</v>
      </c>
      <c r="E49" s="8">
        <v>60000</v>
      </c>
      <c r="F49" s="7" t="s">
        <v>16</v>
      </c>
      <c r="G49" s="7" t="s">
        <v>17</v>
      </c>
      <c r="H49" s="9">
        <v>42435</v>
      </c>
      <c r="I49" s="9">
        <v>42435</v>
      </c>
      <c r="J49" s="10">
        <v>0.19800000000000001</v>
      </c>
      <c r="K49" s="10">
        <v>0.16300000000000001</v>
      </c>
      <c r="L49" s="11">
        <v>45200</v>
      </c>
      <c r="M49" s="8">
        <v>85410</v>
      </c>
      <c r="N49" s="8">
        <v>69425</v>
      </c>
      <c r="O49" t="b">
        <v>1</v>
      </c>
      <c r="P49">
        <f t="shared" si="0"/>
        <v>60000</v>
      </c>
    </row>
    <row r="50" spans="2:16" ht="60.75" thickBot="1" x14ac:dyDescent="0.3">
      <c r="B50" s="6" t="s">
        <v>117</v>
      </c>
      <c r="C50" s="7" t="s">
        <v>118</v>
      </c>
      <c r="D50" s="7" t="s">
        <v>88</v>
      </c>
      <c r="E50" s="8">
        <v>59800</v>
      </c>
      <c r="F50" s="7" t="s">
        <v>16</v>
      </c>
      <c r="G50" s="7" t="s">
        <v>17</v>
      </c>
      <c r="H50" s="9">
        <v>39771</v>
      </c>
      <c r="I50" s="9">
        <v>39771</v>
      </c>
      <c r="J50" s="10">
        <v>0.26400000000000001</v>
      </c>
      <c r="K50" s="10">
        <v>0.28799999999999998</v>
      </c>
      <c r="L50" s="11">
        <v>45170</v>
      </c>
      <c r="M50" s="8">
        <v>150893</v>
      </c>
      <c r="N50" s="8">
        <v>150893</v>
      </c>
      <c r="O50" t="b">
        <v>0</v>
      </c>
      <c r="P50">
        <f t="shared" si="0"/>
        <v>0</v>
      </c>
    </row>
    <row r="51" spans="2:16" ht="60.75" thickBot="1" x14ac:dyDescent="0.3">
      <c r="B51" s="6" t="s">
        <v>119</v>
      </c>
      <c r="C51" s="7" t="s">
        <v>120</v>
      </c>
      <c r="D51" s="7" t="s">
        <v>25</v>
      </c>
      <c r="E51" s="8">
        <v>57400</v>
      </c>
      <c r="F51" s="7" t="s">
        <v>16</v>
      </c>
      <c r="G51" s="7" t="s">
        <v>17</v>
      </c>
      <c r="H51" s="9">
        <v>43118</v>
      </c>
      <c r="I51" s="9">
        <v>43118</v>
      </c>
      <c r="J51" s="10">
        <v>0.33300000000000002</v>
      </c>
      <c r="K51" s="10">
        <v>0.314</v>
      </c>
      <c r="L51" s="11">
        <v>45200</v>
      </c>
      <c r="M51" s="8">
        <v>157641</v>
      </c>
      <c r="N51" s="8">
        <v>129106</v>
      </c>
      <c r="O51" t="b">
        <v>0</v>
      </c>
      <c r="P51">
        <f t="shared" si="0"/>
        <v>0</v>
      </c>
    </row>
    <row r="52" spans="2:16" ht="30.75" thickBot="1" x14ac:dyDescent="0.3">
      <c r="B52" s="6" t="s">
        <v>121</v>
      </c>
      <c r="C52" s="7" t="s">
        <v>122</v>
      </c>
      <c r="D52" s="7" t="s">
        <v>15</v>
      </c>
      <c r="E52" s="8">
        <v>56000</v>
      </c>
      <c r="F52" s="7" t="s">
        <v>16</v>
      </c>
      <c r="G52" s="7" t="s">
        <v>17</v>
      </c>
      <c r="H52" s="9">
        <v>40618</v>
      </c>
      <c r="I52" s="9">
        <v>40618</v>
      </c>
      <c r="J52" s="10">
        <v>0.20899999999999999</v>
      </c>
      <c r="K52" s="10">
        <v>0.184</v>
      </c>
      <c r="L52" s="11">
        <v>45200</v>
      </c>
      <c r="M52" s="8">
        <v>90167</v>
      </c>
      <c r="N52" s="8">
        <v>79083</v>
      </c>
      <c r="O52" t="b">
        <v>1</v>
      </c>
      <c r="P52">
        <f t="shared" si="0"/>
        <v>56000</v>
      </c>
    </row>
    <row r="53" spans="2:16" ht="60.75" thickBot="1" x14ac:dyDescent="0.3">
      <c r="B53" s="6" t="s">
        <v>123</v>
      </c>
      <c r="C53" s="7" t="s">
        <v>124</v>
      </c>
      <c r="D53" s="7" t="s">
        <v>15</v>
      </c>
      <c r="E53" s="8">
        <v>55200</v>
      </c>
      <c r="F53" s="7" t="s">
        <v>16</v>
      </c>
      <c r="G53" s="7" t="s">
        <v>17</v>
      </c>
      <c r="H53" s="9">
        <v>42724</v>
      </c>
      <c r="I53" s="9">
        <v>42724</v>
      </c>
      <c r="J53" s="10">
        <v>0.27700000000000002</v>
      </c>
      <c r="K53" s="10">
        <v>0.24</v>
      </c>
      <c r="L53" s="11">
        <v>45231</v>
      </c>
      <c r="M53" s="8">
        <v>116116</v>
      </c>
      <c r="N53" s="8">
        <v>85761</v>
      </c>
      <c r="O53" t="b">
        <v>1</v>
      </c>
      <c r="P53">
        <f t="shared" si="0"/>
        <v>55200</v>
      </c>
    </row>
    <row r="54" spans="2:16" ht="30.75" thickBot="1" x14ac:dyDescent="0.3">
      <c r="B54" s="6" t="s">
        <v>125</v>
      </c>
      <c r="C54" s="7" t="s">
        <v>126</v>
      </c>
      <c r="D54" s="7" t="s">
        <v>88</v>
      </c>
      <c r="E54" s="8">
        <v>54400</v>
      </c>
      <c r="F54" s="7" t="s">
        <v>16</v>
      </c>
      <c r="G54" s="7" t="s">
        <v>17</v>
      </c>
      <c r="H54" s="9">
        <v>42771</v>
      </c>
      <c r="I54" s="9">
        <v>42771</v>
      </c>
      <c r="J54" s="10">
        <v>0.29599999999999999</v>
      </c>
      <c r="K54" s="10">
        <v>0.26500000000000001</v>
      </c>
      <c r="L54" s="11">
        <v>45200</v>
      </c>
      <c r="M54" s="8">
        <v>126287</v>
      </c>
      <c r="N54" s="8">
        <v>100750</v>
      </c>
      <c r="O54" t="b">
        <v>0</v>
      </c>
      <c r="P54">
        <f t="shared" si="0"/>
        <v>0</v>
      </c>
    </row>
    <row r="55" spans="2:16" ht="90.75" thickBot="1" x14ac:dyDescent="0.3">
      <c r="B55" s="6" t="s">
        <v>127</v>
      </c>
      <c r="C55" s="7" t="s">
        <v>128</v>
      </c>
      <c r="D55" s="7" t="s">
        <v>77</v>
      </c>
      <c r="E55" s="8">
        <v>54000</v>
      </c>
      <c r="F55" s="7" t="s">
        <v>16</v>
      </c>
      <c r="G55" s="7" t="s">
        <v>17</v>
      </c>
      <c r="H55" s="9">
        <v>39356</v>
      </c>
      <c r="I55" s="9">
        <v>39356</v>
      </c>
      <c r="J55" s="10">
        <v>0.34200000000000003</v>
      </c>
      <c r="K55" s="10">
        <v>0.31</v>
      </c>
      <c r="L55" s="11">
        <v>45170</v>
      </c>
      <c r="M55" s="8">
        <v>146592</v>
      </c>
      <c r="N55" s="8">
        <v>146592</v>
      </c>
      <c r="O55" t="b">
        <v>0</v>
      </c>
      <c r="P55">
        <f t="shared" si="0"/>
        <v>0</v>
      </c>
    </row>
    <row r="56" spans="2:16" ht="45.75" thickBot="1" x14ac:dyDescent="0.3">
      <c r="B56" s="6" t="s">
        <v>129</v>
      </c>
      <c r="C56" s="7" t="s">
        <v>130</v>
      </c>
      <c r="D56" s="7" t="s">
        <v>88</v>
      </c>
      <c r="E56" s="8">
        <v>54000</v>
      </c>
      <c r="F56" s="7" t="s">
        <v>16</v>
      </c>
      <c r="G56" s="7" t="s">
        <v>17</v>
      </c>
      <c r="H56" s="9">
        <v>41453</v>
      </c>
      <c r="I56" s="9">
        <v>41453</v>
      </c>
      <c r="J56" s="10">
        <v>0.28100000000000003</v>
      </c>
      <c r="K56" s="10">
        <v>0.26200000000000001</v>
      </c>
      <c r="L56" s="11">
        <v>45170</v>
      </c>
      <c r="M56" s="8">
        <v>123783</v>
      </c>
      <c r="N56" s="8">
        <v>123783</v>
      </c>
      <c r="O56" t="b">
        <v>0</v>
      </c>
      <c r="P56">
        <f t="shared" si="0"/>
        <v>0</v>
      </c>
    </row>
    <row r="57" spans="2:16" ht="30.75" thickBot="1" x14ac:dyDescent="0.3">
      <c r="B57" s="6" t="s">
        <v>131</v>
      </c>
      <c r="C57" s="7" t="s">
        <v>132</v>
      </c>
      <c r="D57" s="7" t="s">
        <v>15</v>
      </c>
      <c r="E57" s="8">
        <v>52900</v>
      </c>
      <c r="F57" s="7" t="s">
        <v>16</v>
      </c>
      <c r="G57" s="7" t="s">
        <v>17</v>
      </c>
      <c r="H57" s="9">
        <v>43162</v>
      </c>
      <c r="I57" s="9">
        <v>43162</v>
      </c>
      <c r="J57" s="10">
        <v>0.33500000000000002</v>
      </c>
      <c r="K57" s="10">
        <v>0.29799999999999999</v>
      </c>
      <c r="L57" s="11">
        <v>45200</v>
      </c>
      <c r="M57" s="8">
        <v>137961</v>
      </c>
      <c r="N57" s="8">
        <v>99515</v>
      </c>
      <c r="O57" t="b">
        <v>1</v>
      </c>
      <c r="P57">
        <f t="shared" si="0"/>
        <v>52900</v>
      </c>
    </row>
    <row r="58" spans="2:16" ht="30.75" thickBot="1" x14ac:dyDescent="0.3">
      <c r="B58" s="6" t="s">
        <v>133</v>
      </c>
      <c r="C58" s="7" t="s">
        <v>134</v>
      </c>
      <c r="D58" s="7" t="s">
        <v>15</v>
      </c>
      <c r="E58" s="8">
        <v>52500</v>
      </c>
      <c r="F58" s="7" t="s">
        <v>16</v>
      </c>
      <c r="G58" s="7" t="s">
        <v>17</v>
      </c>
      <c r="H58" s="9">
        <v>41263</v>
      </c>
      <c r="I58" s="9">
        <v>41263</v>
      </c>
      <c r="J58" s="10">
        <v>0.28199999999999997</v>
      </c>
      <c r="K58" s="10">
        <v>0.19</v>
      </c>
      <c r="L58" s="11">
        <v>45231</v>
      </c>
      <c r="M58" s="8">
        <v>87219</v>
      </c>
      <c r="N58" s="8">
        <v>76984</v>
      </c>
      <c r="O58" t="b">
        <v>1</v>
      </c>
      <c r="P58">
        <f t="shared" si="0"/>
        <v>52500</v>
      </c>
    </row>
    <row r="59" spans="2:16" ht="45.75" thickBot="1" x14ac:dyDescent="0.3">
      <c r="B59" s="6" t="s">
        <v>135</v>
      </c>
      <c r="C59" s="7" t="s">
        <v>136</v>
      </c>
      <c r="D59" s="7" t="s">
        <v>15</v>
      </c>
      <c r="E59" s="8">
        <v>51750</v>
      </c>
      <c r="F59" s="7" t="s">
        <v>16</v>
      </c>
      <c r="G59" s="7" t="s">
        <v>17</v>
      </c>
      <c r="H59" s="9">
        <v>43153</v>
      </c>
      <c r="I59" s="9">
        <v>43153</v>
      </c>
      <c r="J59" s="10">
        <v>0.29699999999999999</v>
      </c>
      <c r="K59" s="10">
        <v>0.253</v>
      </c>
      <c r="L59" s="11">
        <v>45231</v>
      </c>
      <c r="M59" s="8">
        <v>114822</v>
      </c>
      <c r="N59" s="8">
        <v>75869</v>
      </c>
      <c r="O59" t="b">
        <v>1</v>
      </c>
      <c r="P59">
        <f t="shared" si="0"/>
        <v>51750</v>
      </c>
    </row>
    <row r="60" spans="2:16" ht="45.75" thickBot="1" x14ac:dyDescent="0.3">
      <c r="B60" s="6" t="s">
        <v>137</v>
      </c>
      <c r="C60" s="7" t="s">
        <v>138</v>
      </c>
      <c r="D60" s="7" t="s">
        <v>15</v>
      </c>
      <c r="E60" s="8">
        <v>51700</v>
      </c>
      <c r="F60" s="7" t="s">
        <v>16</v>
      </c>
      <c r="G60" s="7" t="s">
        <v>17</v>
      </c>
      <c r="H60" s="9">
        <v>42705</v>
      </c>
      <c r="I60" s="9">
        <v>42705</v>
      </c>
      <c r="J60" s="10">
        <v>0.27900000000000003</v>
      </c>
      <c r="K60" s="10">
        <v>0.26900000000000002</v>
      </c>
      <c r="L60" s="11">
        <v>45170</v>
      </c>
      <c r="M60" s="8">
        <v>121763</v>
      </c>
      <c r="N60" s="8">
        <v>99980</v>
      </c>
      <c r="O60" t="b">
        <v>1</v>
      </c>
      <c r="P60">
        <f t="shared" si="0"/>
        <v>51700</v>
      </c>
    </row>
    <row r="61" spans="2:16" ht="30.75" thickBot="1" x14ac:dyDescent="0.3">
      <c r="B61" s="6" t="s">
        <v>139</v>
      </c>
      <c r="C61" s="7" t="s">
        <v>140</v>
      </c>
      <c r="D61" s="7" t="s">
        <v>88</v>
      </c>
      <c r="E61" s="8">
        <v>51300</v>
      </c>
      <c r="F61" s="7" t="s">
        <v>16</v>
      </c>
      <c r="G61" s="7" t="s">
        <v>17</v>
      </c>
      <c r="H61" s="9">
        <v>42689</v>
      </c>
      <c r="I61" s="9">
        <v>42689</v>
      </c>
      <c r="J61" s="10">
        <v>0.20499999999999999</v>
      </c>
      <c r="K61" s="10">
        <v>0.17199999999999999</v>
      </c>
      <c r="L61" s="11">
        <v>45231</v>
      </c>
      <c r="M61" s="8">
        <v>77384</v>
      </c>
      <c r="N61" s="8">
        <v>51710</v>
      </c>
      <c r="O61" t="b">
        <v>0</v>
      </c>
      <c r="P61">
        <f t="shared" si="0"/>
        <v>0</v>
      </c>
    </row>
    <row r="62" spans="2:16" ht="45.75" thickBot="1" x14ac:dyDescent="0.3">
      <c r="B62" s="6" t="s">
        <v>141</v>
      </c>
      <c r="C62" s="7" t="s">
        <v>142</v>
      </c>
      <c r="D62" s="7" t="s">
        <v>15</v>
      </c>
      <c r="E62" s="8">
        <v>51000</v>
      </c>
      <c r="F62" s="7" t="s">
        <v>16</v>
      </c>
      <c r="G62" s="7" t="s">
        <v>38</v>
      </c>
      <c r="H62" s="9">
        <v>43348</v>
      </c>
      <c r="I62" s="9">
        <v>43474</v>
      </c>
      <c r="J62" s="10">
        <v>0.22600000000000001</v>
      </c>
      <c r="K62" s="10">
        <v>0.19</v>
      </c>
      <c r="L62" s="11">
        <v>45231</v>
      </c>
      <c r="M62" s="8">
        <v>84294</v>
      </c>
      <c r="N62" s="12"/>
      <c r="O62" t="b">
        <v>1</v>
      </c>
      <c r="P62">
        <f t="shared" si="0"/>
        <v>51000</v>
      </c>
    </row>
    <row r="63" spans="2:16" ht="45.75" thickBot="1" x14ac:dyDescent="0.3">
      <c r="B63" s="6" t="s">
        <v>143</v>
      </c>
      <c r="C63" s="7" t="s">
        <v>144</v>
      </c>
      <c r="D63" s="7" t="s">
        <v>15</v>
      </c>
      <c r="E63" s="8">
        <v>50600</v>
      </c>
      <c r="F63" s="7" t="s">
        <v>16</v>
      </c>
      <c r="G63" s="7" t="s">
        <v>17</v>
      </c>
      <c r="H63" s="9">
        <v>38292</v>
      </c>
      <c r="I63" s="9">
        <v>38292</v>
      </c>
      <c r="J63" s="10">
        <v>0.24299999999999999</v>
      </c>
      <c r="K63" s="10">
        <v>0.17899999999999999</v>
      </c>
      <c r="L63" s="11">
        <v>45231</v>
      </c>
      <c r="M63" s="8">
        <v>79110</v>
      </c>
      <c r="N63" s="8">
        <v>61551</v>
      </c>
      <c r="O63" t="b">
        <v>1</v>
      </c>
      <c r="P63">
        <f t="shared" si="0"/>
        <v>50600</v>
      </c>
    </row>
    <row r="64" spans="2:16" ht="45.75" thickBot="1" x14ac:dyDescent="0.3">
      <c r="B64" s="6" t="s">
        <v>145</v>
      </c>
      <c r="C64" s="7" t="s">
        <v>146</v>
      </c>
      <c r="D64" s="7" t="s">
        <v>15</v>
      </c>
      <c r="E64" s="8">
        <v>50000</v>
      </c>
      <c r="F64" s="7" t="s">
        <v>16</v>
      </c>
      <c r="G64" s="7" t="s">
        <v>22</v>
      </c>
      <c r="H64" s="9">
        <v>44369</v>
      </c>
      <c r="I64" s="9">
        <v>44368</v>
      </c>
      <c r="J64" s="10">
        <v>0.29399999999999998</v>
      </c>
      <c r="K64" s="10">
        <v>0.188</v>
      </c>
      <c r="L64" s="11">
        <v>45231</v>
      </c>
      <c r="M64" s="8">
        <v>82448</v>
      </c>
      <c r="N64" s="12"/>
      <c r="O64" t="b">
        <v>1</v>
      </c>
      <c r="P64">
        <f t="shared" si="0"/>
        <v>50000</v>
      </c>
    </row>
    <row r="65" spans="2:16" ht="30.75" thickBot="1" x14ac:dyDescent="0.3">
      <c r="B65" s="6" t="s">
        <v>147</v>
      </c>
      <c r="C65" s="7" t="s">
        <v>148</v>
      </c>
      <c r="D65" s="7" t="s">
        <v>15</v>
      </c>
      <c r="E65" s="8">
        <v>50000</v>
      </c>
      <c r="F65" s="7" t="s">
        <v>16</v>
      </c>
      <c r="G65" s="7" t="s">
        <v>17</v>
      </c>
      <c r="H65" s="9">
        <v>41314</v>
      </c>
      <c r="I65" s="9">
        <v>41314</v>
      </c>
      <c r="J65" s="10">
        <v>0.35</v>
      </c>
      <c r="K65" s="10">
        <v>0.33400000000000002</v>
      </c>
      <c r="L65" s="11">
        <v>45200</v>
      </c>
      <c r="M65" s="8">
        <v>146078</v>
      </c>
      <c r="N65" s="8">
        <v>127652</v>
      </c>
      <c r="O65" t="b">
        <v>1</v>
      </c>
      <c r="P65">
        <f t="shared" si="0"/>
        <v>50000</v>
      </c>
    </row>
    <row r="66" spans="2:16" ht="30.75" thickBot="1" x14ac:dyDescent="0.3">
      <c r="B66" s="6" t="s">
        <v>149</v>
      </c>
      <c r="C66" s="7" t="s">
        <v>150</v>
      </c>
      <c r="D66" s="7" t="s">
        <v>15</v>
      </c>
      <c r="E66" s="8">
        <v>50000</v>
      </c>
      <c r="F66" s="7" t="s">
        <v>16</v>
      </c>
      <c r="G66" s="7" t="s">
        <v>22</v>
      </c>
      <c r="H66" s="9">
        <v>44303</v>
      </c>
      <c r="I66" s="9">
        <v>44336</v>
      </c>
      <c r="J66" s="10">
        <v>0.27300000000000002</v>
      </c>
      <c r="K66" s="10">
        <v>0.25700000000000001</v>
      </c>
      <c r="L66" s="11">
        <v>45231</v>
      </c>
      <c r="M66" s="8">
        <v>112288</v>
      </c>
      <c r="N66" s="12"/>
      <c r="O66" t="b">
        <v>1</v>
      </c>
      <c r="P66">
        <f t="shared" si="0"/>
        <v>50000</v>
      </c>
    </row>
    <row r="67" spans="2:16" ht="30.75" thickBot="1" x14ac:dyDescent="0.3">
      <c r="B67" s="6" t="s">
        <v>151</v>
      </c>
      <c r="C67" s="7" t="s">
        <v>152</v>
      </c>
      <c r="D67" s="7" t="s">
        <v>77</v>
      </c>
      <c r="E67" s="8">
        <v>49875</v>
      </c>
      <c r="F67" s="7" t="s">
        <v>16</v>
      </c>
      <c r="G67" s="7" t="s">
        <v>17</v>
      </c>
      <c r="H67" s="9">
        <v>42976</v>
      </c>
      <c r="I67" s="9">
        <v>42976</v>
      </c>
      <c r="J67" s="10">
        <v>0.309</v>
      </c>
      <c r="K67" s="10">
        <v>0.28100000000000003</v>
      </c>
      <c r="L67" s="11">
        <v>45200</v>
      </c>
      <c r="M67" s="8">
        <v>122775</v>
      </c>
      <c r="N67" s="8">
        <v>101614</v>
      </c>
      <c r="O67" t="b">
        <v>0</v>
      </c>
      <c r="P67">
        <f t="shared" ref="P67:P130" si="1">IF(O67,E67,0)</f>
        <v>0</v>
      </c>
    </row>
    <row r="68" spans="2:16" ht="45.75" thickBot="1" x14ac:dyDescent="0.3">
      <c r="B68" s="6" t="s">
        <v>153</v>
      </c>
      <c r="C68" s="7" t="s">
        <v>154</v>
      </c>
      <c r="D68" s="7" t="s">
        <v>15</v>
      </c>
      <c r="E68" s="8">
        <v>48450</v>
      </c>
      <c r="F68" s="7" t="s">
        <v>16</v>
      </c>
      <c r="G68" s="7" t="s">
        <v>17</v>
      </c>
      <c r="H68" s="9">
        <v>42684</v>
      </c>
      <c r="I68" s="9">
        <v>42684</v>
      </c>
      <c r="J68" s="10">
        <v>0.21099999999999999</v>
      </c>
      <c r="K68" s="10">
        <v>0.16600000000000001</v>
      </c>
      <c r="L68" s="11">
        <v>45200</v>
      </c>
      <c r="M68" s="8">
        <v>70228</v>
      </c>
      <c r="N68" s="8">
        <v>58007</v>
      </c>
      <c r="O68" t="b">
        <v>1</v>
      </c>
      <c r="P68">
        <f t="shared" si="1"/>
        <v>48450</v>
      </c>
    </row>
    <row r="69" spans="2:16" ht="45.75" thickBot="1" x14ac:dyDescent="0.3">
      <c r="B69" s="6" t="s">
        <v>155</v>
      </c>
      <c r="C69" s="7" t="s">
        <v>156</v>
      </c>
      <c r="D69" s="7" t="s">
        <v>15</v>
      </c>
      <c r="E69" s="8">
        <v>48350</v>
      </c>
      <c r="F69" s="7" t="s">
        <v>16</v>
      </c>
      <c r="G69" s="7" t="s">
        <v>22</v>
      </c>
      <c r="H69" s="9">
        <v>44120</v>
      </c>
      <c r="I69" s="9">
        <v>44176</v>
      </c>
      <c r="J69" s="10">
        <v>0.245</v>
      </c>
      <c r="K69" s="10">
        <v>0.246</v>
      </c>
      <c r="L69" s="11">
        <v>45231</v>
      </c>
      <c r="M69" s="8">
        <v>103327</v>
      </c>
      <c r="N69" s="12"/>
      <c r="O69" t="b">
        <v>1</v>
      </c>
      <c r="P69">
        <f t="shared" si="1"/>
        <v>48350</v>
      </c>
    </row>
    <row r="70" spans="2:16" ht="45.75" thickBot="1" x14ac:dyDescent="0.3">
      <c r="B70" s="6" t="s">
        <v>157</v>
      </c>
      <c r="C70" s="7" t="s">
        <v>158</v>
      </c>
      <c r="D70" s="7" t="s">
        <v>15</v>
      </c>
      <c r="E70" s="8">
        <v>48300</v>
      </c>
      <c r="F70" s="7" t="s">
        <v>16</v>
      </c>
      <c r="G70" s="7" t="s">
        <v>17</v>
      </c>
      <c r="H70" s="9">
        <v>40928</v>
      </c>
      <c r="I70" s="9">
        <v>40928</v>
      </c>
      <c r="J70" s="10">
        <v>0.26500000000000001</v>
      </c>
      <c r="K70" s="10">
        <v>0.2</v>
      </c>
      <c r="L70" s="11">
        <v>45200</v>
      </c>
      <c r="M70" s="8">
        <v>84681</v>
      </c>
      <c r="N70" s="8">
        <v>70893</v>
      </c>
      <c r="O70" t="b">
        <v>1</v>
      </c>
      <c r="P70">
        <f t="shared" si="1"/>
        <v>48300</v>
      </c>
    </row>
    <row r="71" spans="2:16" ht="45.75" thickBot="1" x14ac:dyDescent="0.3">
      <c r="B71" s="6" t="s">
        <v>159</v>
      </c>
      <c r="C71" s="7" t="s">
        <v>160</v>
      </c>
      <c r="D71" s="7" t="s">
        <v>15</v>
      </c>
      <c r="E71" s="8">
        <v>48300</v>
      </c>
      <c r="F71" s="7" t="s">
        <v>16</v>
      </c>
      <c r="G71" s="7" t="s">
        <v>17</v>
      </c>
      <c r="H71" s="9">
        <v>38078</v>
      </c>
      <c r="I71" s="9">
        <v>38078</v>
      </c>
      <c r="J71" s="10">
        <v>0.25800000000000001</v>
      </c>
      <c r="K71" s="10">
        <v>0.188</v>
      </c>
      <c r="L71" s="11">
        <v>45231</v>
      </c>
      <c r="M71" s="8">
        <v>79714</v>
      </c>
      <c r="N71" s="8">
        <v>69261</v>
      </c>
      <c r="O71" t="b">
        <v>0</v>
      </c>
      <c r="P71">
        <f t="shared" si="1"/>
        <v>0</v>
      </c>
    </row>
    <row r="72" spans="2:16" ht="30.75" thickBot="1" x14ac:dyDescent="0.3">
      <c r="B72" s="6" t="s">
        <v>161</v>
      </c>
      <c r="C72" s="7" t="s">
        <v>162</v>
      </c>
      <c r="D72" s="7" t="s">
        <v>15</v>
      </c>
      <c r="E72" s="8">
        <v>48000</v>
      </c>
      <c r="F72" s="7" t="s">
        <v>16</v>
      </c>
      <c r="G72" s="7" t="s">
        <v>17</v>
      </c>
      <c r="H72" s="9">
        <v>39753</v>
      </c>
      <c r="I72" s="9">
        <v>39753</v>
      </c>
      <c r="J72" s="10">
        <v>0.34</v>
      </c>
      <c r="K72" s="10">
        <v>0.30399999999999999</v>
      </c>
      <c r="L72" s="11">
        <v>45231</v>
      </c>
      <c r="M72" s="8">
        <v>127797</v>
      </c>
      <c r="N72" s="8">
        <v>101648</v>
      </c>
      <c r="O72" t="b">
        <v>1</v>
      </c>
      <c r="P72">
        <f t="shared" si="1"/>
        <v>48000</v>
      </c>
    </row>
    <row r="73" spans="2:16" ht="45.75" thickBot="1" x14ac:dyDescent="0.3">
      <c r="B73" s="6" t="s">
        <v>163</v>
      </c>
      <c r="C73" s="7" t="s">
        <v>164</v>
      </c>
      <c r="D73" s="7" t="s">
        <v>15</v>
      </c>
      <c r="E73" s="8">
        <v>48000</v>
      </c>
      <c r="F73" s="7" t="s">
        <v>16</v>
      </c>
      <c r="G73" s="7" t="s">
        <v>22</v>
      </c>
      <c r="H73" s="7"/>
      <c r="I73" s="9">
        <v>44288</v>
      </c>
      <c r="J73" s="10">
        <v>0.151</v>
      </c>
      <c r="K73" s="10">
        <v>0.14399999999999999</v>
      </c>
      <c r="L73" s="11">
        <v>45231</v>
      </c>
      <c r="M73" s="8">
        <v>60766</v>
      </c>
      <c r="N73" s="12"/>
      <c r="O73" t="b">
        <v>1</v>
      </c>
      <c r="P73">
        <f t="shared" si="1"/>
        <v>48000</v>
      </c>
    </row>
    <row r="74" spans="2:16" ht="45.75" thickBot="1" x14ac:dyDescent="0.3">
      <c r="B74" s="6" t="s">
        <v>165</v>
      </c>
      <c r="C74" s="7" t="s">
        <v>166</v>
      </c>
      <c r="D74" s="7" t="s">
        <v>77</v>
      </c>
      <c r="E74" s="8">
        <v>46800</v>
      </c>
      <c r="F74" s="7" t="s">
        <v>16</v>
      </c>
      <c r="G74" s="7" t="s">
        <v>17</v>
      </c>
      <c r="H74" s="9">
        <v>44629</v>
      </c>
      <c r="I74" s="9">
        <v>44582</v>
      </c>
      <c r="J74" s="10">
        <v>0.32</v>
      </c>
      <c r="K74" s="10">
        <v>0.29799999999999999</v>
      </c>
      <c r="L74" s="11">
        <v>45231</v>
      </c>
      <c r="M74" s="8">
        <v>122165</v>
      </c>
      <c r="N74" s="12"/>
      <c r="O74" t="b">
        <v>0</v>
      </c>
      <c r="P74">
        <f t="shared" si="1"/>
        <v>0</v>
      </c>
    </row>
    <row r="75" spans="2:16" ht="45.75" thickBot="1" x14ac:dyDescent="0.3">
      <c r="B75" s="6" t="s">
        <v>167</v>
      </c>
      <c r="C75" s="7" t="s">
        <v>168</v>
      </c>
      <c r="D75" s="7" t="s">
        <v>15</v>
      </c>
      <c r="E75" s="8">
        <v>46800</v>
      </c>
      <c r="F75" s="7" t="s">
        <v>16</v>
      </c>
      <c r="G75" s="7" t="s">
        <v>22</v>
      </c>
      <c r="H75" s="9">
        <v>44706</v>
      </c>
      <c r="I75" s="9">
        <v>44384</v>
      </c>
      <c r="J75" s="10">
        <v>0.23599999999999999</v>
      </c>
      <c r="K75" s="10">
        <v>0.20200000000000001</v>
      </c>
      <c r="L75" s="11">
        <v>45231</v>
      </c>
      <c r="M75" s="8">
        <v>82350</v>
      </c>
      <c r="N75" s="12"/>
      <c r="O75" t="b">
        <v>1</v>
      </c>
      <c r="P75">
        <f t="shared" si="1"/>
        <v>46800</v>
      </c>
    </row>
    <row r="76" spans="2:16" ht="45.75" thickBot="1" x14ac:dyDescent="0.3">
      <c r="B76" s="6" t="s">
        <v>169</v>
      </c>
      <c r="C76" s="7" t="s">
        <v>170</v>
      </c>
      <c r="D76" s="7" t="s">
        <v>25</v>
      </c>
      <c r="E76" s="8">
        <v>46296</v>
      </c>
      <c r="F76" s="7" t="s">
        <v>16</v>
      </c>
      <c r="G76" s="7" t="s">
        <v>17</v>
      </c>
      <c r="H76" s="9">
        <v>41333</v>
      </c>
      <c r="I76" s="9">
        <v>41333</v>
      </c>
      <c r="J76" s="10">
        <v>0.29399999999999998</v>
      </c>
      <c r="K76" s="10">
        <v>0.25800000000000001</v>
      </c>
      <c r="L76" s="11">
        <v>45200</v>
      </c>
      <c r="M76" s="8">
        <v>104461</v>
      </c>
      <c r="N76" s="8">
        <v>88661</v>
      </c>
      <c r="O76" t="b">
        <v>0</v>
      </c>
      <c r="P76">
        <f t="shared" si="1"/>
        <v>0</v>
      </c>
    </row>
    <row r="77" spans="2:16" ht="60.75" thickBot="1" x14ac:dyDescent="0.3">
      <c r="B77" s="6" t="s">
        <v>171</v>
      </c>
      <c r="C77" s="7" t="s">
        <v>172</v>
      </c>
      <c r="D77" s="7" t="s">
        <v>15</v>
      </c>
      <c r="E77" s="8">
        <v>46000</v>
      </c>
      <c r="F77" s="7" t="s">
        <v>16</v>
      </c>
      <c r="G77" s="7" t="s">
        <v>17</v>
      </c>
      <c r="H77" s="9">
        <v>41354</v>
      </c>
      <c r="I77" s="9">
        <v>41306</v>
      </c>
      <c r="J77" s="10">
        <v>0.313</v>
      </c>
      <c r="K77" s="10">
        <v>0.254</v>
      </c>
      <c r="L77" s="11">
        <v>45200</v>
      </c>
      <c r="M77" s="8">
        <v>102242</v>
      </c>
      <c r="N77" s="8">
        <v>83345</v>
      </c>
      <c r="O77" t="b">
        <v>1</v>
      </c>
      <c r="P77">
        <f t="shared" si="1"/>
        <v>46000</v>
      </c>
    </row>
    <row r="78" spans="2:16" ht="60.75" thickBot="1" x14ac:dyDescent="0.3">
      <c r="B78" s="6" t="s">
        <v>173</v>
      </c>
      <c r="C78" s="7" t="s">
        <v>174</v>
      </c>
      <c r="D78" s="7" t="s">
        <v>15</v>
      </c>
      <c r="E78" s="8">
        <v>45600</v>
      </c>
      <c r="F78" s="7" t="s">
        <v>16</v>
      </c>
      <c r="G78" s="7" t="s">
        <v>17</v>
      </c>
      <c r="H78" s="9">
        <v>41095</v>
      </c>
      <c r="I78" s="9">
        <v>41095</v>
      </c>
      <c r="J78" s="10">
        <v>0.214</v>
      </c>
      <c r="K78" s="10">
        <v>0.24</v>
      </c>
      <c r="L78" s="11">
        <v>45200</v>
      </c>
      <c r="M78" s="8">
        <v>95850</v>
      </c>
      <c r="N78" s="8">
        <v>85231</v>
      </c>
      <c r="O78" t="b">
        <v>1</v>
      </c>
      <c r="P78">
        <f t="shared" si="1"/>
        <v>45600</v>
      </c>
    </row>
    <row r="79" spans="2:16" ht="30.75" thickBot="1" x14ac:dyDescent="0.3">
      <c r="B79" s="6" t="s">
        <v>175</v>
      </c>
      <c r="C79" s="7" t="s">
        <v>176</v>
      </c>
      <c r="D79" s="7" t="s">
        <v>25</v>
      </c>
      <c r="E79" s="8">
        <v>45000</v>
      </c>
      <c r="F79" s="7" t="s">
        <v>16</v>
      </c>
      <c r="G79" s="7" t="s">
        <v>17</v>
      </c>
      <c r="H79" s="9">
        <v>38377</v>
      </c>
      <c r="I79" s="9">
        <v>38377</v>
      </c>
      <c r="J79" s="10">
        <v>0.29599999999999999</v>
      </c>
      <c r="K79" s="10">
        <v>0.28000000000000003</v>
      </c>
      <c r="L79" s="11">
        <v>45231</v>
      </c>
      <c r="M79" s="8">
        <v>110446</v>
      </c>
      <c r="N79" s="8">
        <v>90313</v>
      </c>
      <c r="O79" t="b">
        <v>0</v>
      </c>
      <c r="P79">
        <f t="shared" si="1"/>
        <v>0</v>
      </c>
    </row>
    <row r="80" spans="2:16" ht="45.75" thickBot="1" x14ac:dyDescent="0.3">
      <c r="B80" s="6" t="s">
        <v>177</v>
      </c>
      <c r="C80" s="7" t="s">
        <v>178</v>
      </c>
      <c r="D80" s="7" t="s">
        <v>88</v>
      </c>
      <c r="E80" s="8">
        <v>44000</v>
      </c>
      <c r="F80" s="7" t="s">
        <v>16</v>
      </c>
      <c r="G80" s="7" t="s">
        <v>17</v>
      </c>
      <c r="H80" s="9">
        <v>40966</v>
      </c>
      <c r="I80" s="9">
        <v>40966</v>
      </c>
      <c r="J80" s="10">
        <v>0.26400000000000001</v>
      </c>
      <c r="K80" s="10">
        <v>0.17799999999999999</v>
      </c>
      <c r="L80" s="11">
        <v>45200</v>
      </c>
      <c r="M80" s="8">
        <v>68667</v>
      </c>
      <c r="N80" s="8">
        <v>60192</v>
      </c>
      <c r="O80" t="b">
        <v>0</v>
      </c>
      <c r="P80">
        <f t="shared" si="1"/>
        <v>0</v>
      </c>
    </row>
    <row r="81" spans="2:16" ht="30.75" thickBot="1" x14ac:dyDescent="0.3">
      <c r="B81" s="6" t="s">
        <v>179</v>
      </c>
      <c r="C81" s="7" t="s">
        <v>180</v>
      </c>
      <c r="D81" s="7" t="s">
        <v>15</v>
      </c>
      <c r="E81" s="8">
        <v>43200</v>
      </c>
      <c r="F81" s="7" t="s">
        <v>16</v>
      </c>
      <c r="G81" s="7" t="s">
        <v>22</v>
      </c>
      <c r="H81" s="9">
        <v>44770</v>
      </c>
      <c r="I81" s="9">
        <v>44390</v>
      </c>
      <c r="J81" s="10">
        <v>0.316</v>
      </c>
      <c r="K81" s="10">
        <v>0.27700000000000002</v>
      </c>
      <c r="L81" s="11">
        <v>45231</v>
      </c>
      <c r="M81" s="8">
        <v>104956</v>
      </c>
      <c r="N81" s="12"/>
      <c r="O81" t="b">
        <v>1</v>
      </c>
      <c r="P81">
        <f t="shared" si="1"/>
        <v>43200</v>
      </c>
    </row>
    <row r="82" spans="2:16" ht="45.75" thickBot="1" x14ac:dyDescent="0.3">
      <c r="B82" s="6" t="s">
        <v>181</v>
      </c>
      <c r="C82" s="7" t="s">
        <v>182</v>
      </c>
      <c r="D82" s="7" t="s">
        <v>15</v>
      </c>
      <c r="E82" s="8">
        <v>42600</v>
      </c>
      <c r="F82" s="7" t="s">
        <v>16</v>
      </c>
      <c r="G82" s="7" t="s">
        <v>17</v>
      </c>
      <c r="H82" s="9">
        <v>42389</v>
      </c>
      <c r="I82" s="9">
        <v>42389</v>
      </c>
      <c r="J82" s="10">
        <v>0.26</v>
      </c>
      <c r="K82" s="10">
        <v>0.22500000000000001</v>
      </c>
      <c r="L82" s="11">
        <v>45231</v>
      </c>
      <c r="M82" s="8">
        <v>83905</v>
      </c>
      <c r="N82" s="8">
        <v>57772</v>
      </c>
      <c r="O82" t="b">
        <v>1</v>
      </c>
      <c r="P82">
        <f t="shared" si="1"/>
        <v>42600</v>
      </c>
    </row>
    <row r="83" spans="2:16" ht="30.75" thickBot="1" x14ac:dyDescent="0.3">
      <c r="B83" s="6" t="s">
        <v>183</v>
      </c>
      <c r="C83" s="7" t="s">
        <v>184</v>
      </c>
      <c r="D83" s="7" t="s">
        <v>15</v>
      </c>
      <c r="E83" s="8">
        <v>42556</v>
      </c>
      <c r="F83" s="7" t="s">
        <v>16</v>
      </c>
      <c r="G83" s="7" t="s">
        <v>22</v>
      </c>
      <c r="H83" s="7"/>
      <c r="I83" s="9">
        <v>44958</v>
      </c>
      <c r="J83" s="12"/>
      <c r="K83" s="12"/>
      <c r="L83" s="11">
        <v>45231</v>
      </c>
      <c r="M83" s="8">
        <v>78290</v>
      </c>
      <c r="N83" s="12"/>
      <c r="O83" t="b">
        <v>1</v>
      </c>
      <c r="P83">
        <f t="shared" si="1"/>
        <v>42556</v>
      </c>
    </row>
    <row r="84" spans="2:16" ht="30.75" thickBot="1" x14ac:dyDescent="0.3">
      <c r="B84" s="6" t="s">
        <v>185</v>
      </c>
      <c r="C84" s="7" t="s">
        <v>186</v>
      </c>
      <c r="D84" s="7" t="s">
        <v>77</v>
      </c>
      <c r="E84" s="8">
        <v>42280</v>
      </c>
      <c r="F84" s="7" t="s">
        <v>16</v>
      </c>
      <c r="G84" s="7" t="s">
        <v>17</v>
      </c>
      <c r="H84" s="9">
        <v>41901</v>
      </c>
      <c r="I84" s="9">
        <v>41901</v>
      </c>
      <c r="J84" s="10">
        <v>0.26600000000000001</v>
      </c>
      <c r="K84" s="10">
        <v>0.20499999999999999</v>
      </c>
      <c r="L84" s="11">
        <v>45231</v>
      </c>
      <c r="M84" s="8">
        <v>75979</v>
      </c>
      <c r="N84" s="8">
        <v>53000</v>
      </c>
      <c r="O84" t="b">
        <v>0</v>
      </c>
      <c r="P84">
        <f t="shared" si="1"/>
        <v>0</v>
      </c>
    </row>
    <row r="85" spans="2:16" ht="45.75" thickBot="1" x14ac:dyDescent="0.3">
      <c r="B85" s="6" t="s">
        <v>187</v>
      </c>
      <c r="C85" s="7" t="s">
        <v>188</v>
      </c>
      <c r="D85" s="7" t="s">
        <v>15</v>
      </c>
      <c r="E85" s="8">
        <v>42000</v>
      </c>
      <c r="F85" s="7" t="s">
        <v>16</v>
      </c>
      <c r="G85" s="7" t="s">
        <v>22</v>
      </c>
      <c r="H85" s="9">
        <v>44924</v>
      </c>
      <c r="I85" s="9">
        <v>44833</v>
      </c>
      <c r="J85" s="10">
        <v>0.124</v>
      </c>
      <c r="K85" s="10">
        <v>0.12</v>
      </c>
      <c r="L85" s="11">
        <v>45231</v>
      </c>
      <c r="M85" s="8">
        <v>44293</v>
      </c>
      <c r="N85" s="12"/>
      <c r="O85" t="b">
        <v>1</v>
      </c>
      <c r="P85">
        <f t="shared" si="1"/>
        <v>42000</v>
      </c>
    </row>
    <row r="86" spans="2:16" ht="30.75" thickBot="1" x14ac:dyDescent="0.3">
      <c r="B86" s="6" t="s">
        <v>189</v>
      </c>
      <c r="C86" s="7" t="s">
        <v>190</v>
      </c>
      <c r="D86" s="7" t="s">
        <v>15</v>
      </c>
      <c r="E86" s="8">
        <v>41400</v>
      </c>
      <c r="F86" s="7" t="s">
        <v>16</v>
      </c>
      <c r="G86" s="7" t="s">
        <v>17</v>
      </c>
      <c r="H86" s="9">
        <v>40147</v>
      </c>
      <c r="I86" s="9">
        <v>40147</v>
      </c>
      <c r="J86" s="10">
        <v>0.26800000000000002</v>
      </c>
      <c r="K86" s="10">
        <v>0.22500000000000001</v>
      </c>
      <c r="L86" s="11">
        <v>45139</v>
      </c>
      <c r="M86" s="8">
        <v>81626</v>
      </c>
      <c r="N86" s="8">
        <v>81626</v>
      </c>
      <c r="O86" t="b">
        <v>1</v>
      </c>
      <c r="P86">
        <f t="shared" si="1"/>
        <v>41400</v>
      </c>
    </row>
    <row r="87" spans="2:16" ht="30.75" thickBot="1" x14ac:dyDescent="0.3">
      <c r="B87" s="6" t="s">
        <v>191</v>
      </c>
      <c r="C87" s="7" t="s">
        <v>192</v>
      </c>
      <c r="D87" s="7" t="s">
        <v>15</v>
      </c>
      <c r="E87" s="8">
        <v>41400</v>
      </c>
      <c r="F87" s="7" t="s">
        <v>16</v>
      </c>
      <c r="G87" s="7" t="s">
        <v>17</v>
      </c>
      <c r="H87" s="9">
        <v>41326</v>
      </c>
      <c r="I87" s="9">
        <v>41326</v>
      </c>
      <c r="J87" s="10">
        <v>0.32200000000000001</v>
      </c>
      <c r="K87" s="10">
        <v>0.21099999999999999</v>
      </c>
      <c r="L87" s="11">
        <v>45231</v>
      </c>
      <c r="M87" s="8">
        <v>76363</v>
      </c>
      <c r="N87" s="8">
        <v>58076</v>
      </c>
      <c r="O87" t="b">
        <v>1</v>
      </c>
      <c r="P87">
        <f t="shared" si="1"/>
        <v>41400</v>
      </c>
    </row>
    <row r="88" spans="2:16" ht="30.75" thickBot="1" x14ac:dyDescent="0.3">
      <c r="B88" s="6" t="s">
        <v>193</v>
      </c>
      <c r="C88" s="7" t="s">
        <v>194</v>
      </c>
      <c r="D88" s="7" t="s">
        <v>15</v>
      </c>
      <c r="E88" s="8">
        <v>41000</v>
      </c>
      <c r="F88" s="7" t="s">
        <v>16</v>
      </c>
      <c r="G88" s="7" t="s">
        <v>17</v>
      </c>
      <c r="H88" s="9">
        <v>40100</v>
      </c>
      <c r="I88" s="9">
        <v>40100</v>
      </c>
      <c r="J88" s="10">
        <v>0.23799999999999999</v>
      </c>
      <c r="K88" s="10">
        <v>0.20499999999999999</v>
      </c>
      <c r="L88" s="11">
        <v>45170</v>
      </c>
      <c r="M88" s="8">
        <v>73633</v>
      </c>
      <c r="N88" s="8">
        <v>73633</v>
      </c>
      <c r="O88" t="b">
        <v>0</v>
      </c>
      <c r="P88">
        <f t="shared" si="1"/>
        <v>0</v>
      </c>
    </row>
    <row r="89" spans="2:16" ht="30.75" thickBot="1" x14ac:dyDescent="0.3">
      <c r="B89" s="6" t="s">
        <v>195</v>
      </c>
      <c r="C89" s="7" t="s">
        <v>196</v>
      </c>
      <c r="D89" s="7" t="s">
        <v>15</v>
      </c>
      <c r="E89" s="8">
        <v>39900</v>
      </c>
      <c r="F89" s="7" t="s">
        <v>16</v>
      </c>
      <c r="G89" s="7" t="s">
        <v>17</v>
      </c>
      <c r="H89" s="9">
        <v>42809</v>
      </c>
      <c r="I89" s="9">
        <v>42809</v>
      </c>
      <c r="J89" s="10">
        <v>0.21099999999999999</v>
      </c>
      <c r="K89" s="10">
        <v>0.19900000000000001</v>
      </c>
      <c r="L89" s="11">
        <v>45231</v>
      </c>
      <c r="M89" s="8">
        <v>69599</v>
      </c>
      <c r="N89" s="8">
        <v>51388</v>
      </c>
      <c r="O89" t="b">
        <v>1</v>
      </c>
      <c r="P89">
        <f t="shared" si="1"/>
        <v>39900</v>
      </c>
    </row>
    <row r="90" spans="2:16" ht="30.75" thickBot="1" x14ac:dyDescent="0.3">
      <c r="B90" s="6" t="s">
        <v>197</v>
      </c>
      <c r="C90" s="7" t="s">
        <v>198</v>
      </c>
      <c r="D90" s="7" t="s">
        <v>15</v>
      </c>
      <c r="E90" s="8">
        <v>39100</v>
      </c>
      <c r="F90" s="7" t="s">
        <v>16</v>
      </c>
      <c r="G90" s="7" t="s">
        <v>38</v>
      </c>
      <c r="H90" s="9">
        <v>44445</v>
      </c>
      <c r="I90" s="9">
        <v>43739</v>
      </c>
      <c r="J90" s="10">
        <v>0.36899999999999999</v>
      </c>
      <c r="K90" s="10">
        <v>0.28799999999999998</v>
      </c>
      <c r="L90" s="11">
        <v>45231</v>
      </c>
      <c r="M90" s="8">
        <v>98506</v>
      </c>
      <c r="N90" s="12"/>
      <c r="O90" t="b">
        <v>1</v>
      </c>
      <c r="P90">
        <f t="shared" si="1"/>
        <v>39100</v>
      </c>
    </row>
    <row r="91" spans="2:16" ht="30.75" thickBot="1" x14ac:dyDescent="0.3">
      <c r="B91" s="6" t="s">
        <v>199</v>
      </c>
      <c r="C91" s="7" t="s">
        <v>200</v>
      </c>
      <c r="D91" s="7" t="s">
        <v>15</v>
      </c>
      <c r="E91" s="8">
        <v>38950</v>
      </c>
      <c r="F91" s="7" t="s">
        <v>16</v>
      </c>
      <c r="G91" s="7" t="s">
        <v>17</v>
      </c>
      <c r="H91" s="9">
        <v>40347</v>
      </c>
      <c r="I91" s="9">
        <v>40347</v>
      </c>
      <c r="J91" s="10">
        <v>0.246</v>
      </c>
      <c r="K91" s="10">
        <v>0.20300000000000001</v>
      </c>
      <c r="L91" s="11">
        <v>45170</v>
      </c>
      <c r="M91" s="8">
        <v>69130</v>
      </c>
      <c r="N91" s="8">
        <v>69130</v>
      </c>
      <c r="O91" t="b">
        <v>0</v>
      </c>
      <c r="P91">
        <f t="shared" si="1"/>
        <v>0</v>
      </c>
    </row>
    <row r="92" spans="2:16" ht="45.75" thickBot="1" x14ac:dyDescent="0.3">
      <c r="B92" s="6" t="s">
        <v>201</v>
      </c>
      <c r="C92" s="7" t="s">
        <v>202</v>
      </c>
      <c r="D92" s="7" t="s">
        <v>15</v>
      </c>
      <c r="E92" s="8">
        <v>38760</v>
      </c>
      <c r="F92" s="7" t="s">
        <v>16</v>
      </c>
      <c r="G92" s="7" t="s">
        <v>17</v>
      </c>
      <c r="H92" s="9">
        <v>42814</v>
      </c>
      <c r="I92" s="9">
        <v>42814</v>
      </c>
      <c r="J92" s="10">
        <v>0.25600000000000001</v>
      </c>
      <c r="K92" s="10">
        <v>0.2</v>
      </c>
      <c r="L92" s="11">
        <v>45200</v>
      </c>
      <c r="M92" s="8">
        <v>67772</v>
      </c>
      <c r="N92" s="8">
        <v>51141</v>
      </c>
      <c r="O92" t="b">
        <v>1</v>
      </c>
      <c r="P92">
        <f t="shared" si="1"/>
        <v>38760</v>
      </c>
    </row>
    <row r="93" spans="2:16" ht="30.75" thickBot="1" x14ac:dyDescent="0.3">
      <c r="B93" s="6" t="s">
        <v>203</v>
      </c>
      <c r="C93" s="7" t="s">
        <v>204</v>
      </c>
      <c r="D93" s="7" t="s">
        <v>15</v>
      </c>
      <c r="E93" s="8">
        <v>38400</v>
      </c>
      <c r="F93" s="7" t="s">
        <v>16</v>
      </c>
      <c r="G93" s="7" t="s">
        <v>17</v>
      </c>
      <c r="H93" s="9">
        <v>42750</v>
      </c>
      <c r="I93" s="9">
        <v>42750</v>
      </c>
      <c r="J93" s="10">
        <v>0.246</v>
      </c>
      <c r="K93" s="10">
        <v>0.25800000000000001</v>
      </c>
      <c r="L93" s="11">
        <v>45200</v>
      </c>
      <c r="M93" s="8">
        <v>86912</v>
      </c>
      <c r="N93" s="8">
        <v>69629</v>
      </c>
      <c r="O93" t="b">
        <v>1</v>
      </c>
      <c r="P93">
        <f t="shared" si="1"/>
        <v>38400</v>
      </c>
    </row>
    <row r="94" spans="2:16" ht="45.75" thickBot="1" x14ac:dyDescent="0.3">
      <c r="B94" s="6" t="s">
        <v>205</v>
      </c>
      <c r="C94" s="7" t="s">
        <v>206</v>
      </c>
      <c r="D94" s="7" t="s">
        <v>77</v>
      </c>
      <c r="E94" s="8">
        <v>38400</v>
      </c>
      <c r="F94" s="7" t="s">
        <v>16</v>
      </c>
      <c r="G94" s="7" t="s">
        <v>17</v>
      </c>
      <c r="H94" s="9">
        <v>43266</v>
      </c>
      <c r="I94" s="9">
        <v>43266</v>
      </c>
      <c r="J94" s="10">
        <v>0.29699999999999999</v>
      </c>
      <c r="K94" s="10">
        <v>0.27600000000000002</v>
      </c>
      <c r="L94" s="11">
        <v>45200</v>
      </c>
      <c r="M94" s="8">
        <v>92732</v>
      </c>
      <c r="N94" s="8">
        <v>76149</v>
      </c>
      <c r="O94" t="b">
        <v>0</v>
      </c>
      <c r="P94">
        <f t="shared" si="1"/>
        <v>0</v>
      </c>
    </row>
    <row r="95" spans="2:16" ht="30.75" thickBot="1" x14ac:dyDescent="0.3">
      <c r="B95" s="6" t="s">
        <v>207</v>
      </c>
      <c r="C95" s="7" t="s">
        <v>208</v>
      </c>
      <c r="D95" s="7" t="s">
        <v>15</v>
      </c>
      <c r="E95" s="8">
        <v>38000</v>
      </c>
      <c r="F95" s="7" t="s">
        <v>16</v>
      </c>
      <c r="G95" s="7" t="s">
        <v>17</v>
      </c>
      <c r="H95" s="9">
        <v>40004</v>
      </c>
      <c r="I95" s="9">
        <v>40004</v>
      </c>
      <c r="J95" s="10">
        <v>0.23899999999999999</v>
      </c>
      <c r="K95" s="10">
        <v>0.217</v>
      </c>
      <c r="L95" s="11">
        <v>45200</v>
      </c>
      <c r="M95" s="8">
        <v>72278</v>
      </c>
      <c r="N95" s="8">
        <v>64070</v>
      </c>
      <c r="O95" t="b">
        <v>0</v>
      </c>
      <c r="P95">
        <f t="shared" si="1"/>
        <v>0</v>
      </c>
    </row>
    <row r="96" spans="2:16" ht="30.75" thickBot="1" x14ac:dyDescent="0.3">
      <c r="B96" s="6" t="s">
        <v>209</v>
      </c>
      <c r="C96" s="7" t="s">
        <v>210</v>
      </c>
      <c r="D96" s="7" t="s">
        <v>15</v>
      </c>
      <c r="E96" s="8">
        <v>37800</v>
      </c>
      <c r="F96" s="7" t="s">
        <v>16</v>
      </c>
      <c r="G96" s="7" t="s">
        <v>22</v>
      </c>
      <c r="H96" s="9">
        <v>44771</v>
      </c>
      <c r="I96" s="9">
        <v>44462</v>
      </c>
      <c r="J96" s="10">
        <v>0.31900000000000001</v>
      </c>
      <c r="K96" s="10">
        <v>0.27800000000000002</v>
      </c>
      <c r="L96" s="11">
        <v>45231</v>
      </c>
      <c r="M96" s="8">
        <v>91904</v>
      </c>
      <c r="N96" s="12"/>
      <c r="O96" t="b">
        <v>1</v>
      </c>
      <c r="P96">
        <f t="shared" si="1"/>
        <v>37800</v>
      </c>
    </row>
    <row r="97" spans="2:16" ht="30.75" thickBot="1" x14ac:dyDescent="0.3">
      <c r="B97" s="6" t="s">
        <v>211</v>
      </c>
      <c r="C97" s="7" t="s">
        <v>212</v>
      </c>
      <c r="D97" s="7" t="s">
        <v>25</v>
      </c>
      <c r="E97" s="8">
        <v>37600</v>
      </c>
      <c r="F97" s="7" t="s">
        <v>16</v>
      </c>
      <c r="G97" s="7" t="s">
        <v>38</v>
      </c>
      <c r="H97" s="9">
        <v>43756</v>
      </c>
      <c r="I97" s="9">
        <v>43553</v>
      </c>
      <c r="J97" s="10">
        <v>0.32</v>
      </c>
      <c r="K97" s="10">
        <v>0.30299999999999999</v>
      </c>
      <c r="L97" s="11">
        <v>45231</v>
      </c>
      <c r="M97" s="8">
        <v>99792</v>
      </c>
      <c r="N97" s="12"/>
      <c r="O97" t="b">
        <v>1</v>
      </c>
      <c r="P97">
        <f t="shared" si="1"/>
        <v>37600</v>
      </c>
    </row>
    <row r="98" spans="2:16" ht="45.75" thickBot="1" x14ac:dyDescent="0.3">
      <c r="B98" s="6" t="s">
        <v>213</v>
      </c>
      <c r="C98" s="7" t="s">
        <v>214</v>
      </c>
      <c r="D98" s="7" t="s">
        <v>15</v>
      </c>
      <c r="E98" s="8">
        <v>37500</v>
      </c>
      <c r="F98" s="7" t="s">
        <v>16</v>
      </c>
      <c r="G98" s="7" t="s">
        <v>17</v>
      </c>
      <c r="H98" s="9">
        <v>39022</v>
      </c>
      <c r="I98" s="9">
        <v>38991</v>
      </c>
      <c r="J98" s="10">
        <v>0.312</v>
      </c>
      <c r="K98" s="10">
        <v>0.27500000000000002</v>
      </c>
      <c r="L98" s="11">
        <v>45231</v>
      </c>
      <c r="M98" s="8">
        <v>90303</v>
      </c>
      <c r="N98" s="8">
        <v>70663</v>
      </c>
      <c r="O98" t="b">
        <v>0</v>
      </c>
      <c r="P98">
        <f t="shared" si="1"/>
        <v>0</v>
      </c>
    </row>
    <row r="99" spans="2:16" ht="30.75" thickBot="1" x14ac:dyDescent="0.3">
      <c r="B99" s="6" t="s">
        <v>215</v>
      </c>
      <c r="C99" s="7" t="s">
        <v>216</v>
      </c>
      <c r="D99" s="7" t="s">
        <v>88</v>
      </c>
      <c r="E99" s="8">
        <v>37400</v>
      </c>
      <c r="F99" s="7" t="s">
        <v>16</v>
      </c>
      <c r="G99" s="7" t="s">
        <v>17</v>
      </c>
      <c r="H99" s="9">
        <v>42266</v>
      </c>
      <c r="I99" s="9">
        <v>42266</v>
      </c>
      <c r="J99" s="10">
        <v>0.34200000000000003</v>
      </c>
      <c r="K99" s="10">
        <v>0.31</v>
      </c>
      <c r="L99" s="11">
        <v>45200</v>
      </c>
      <c r="M99" s="8">
        <v>101484</v>
      </c>
      <c r="N99" s="8">
        <v>78181</v>
      </c>
      <c r="O99" t="b">
        <v>0</v>
      </c>
      <c r="P99">
        <f t="shared" si="1"/>
        <v>0</v>
      </c>
    </row>
    <row r="100" spans="2:16" ht="45.75" thickBot="1" x14ac:dyDescent="0.3">
      <c r="B100" s="6" t="s">
        <v>217</v>
      </c>
      <c r="C100" s="7" t="s">
        <v>218</v>
      </c>
      <c r="D100" s="7" t="s">
        <v>15</v>
      </c>
      <c r="E100" s="8">
        <v>37350</v>
      </c>
      <c r="F100" s="7" t="s">
        <v>16</v>
      </c>
      <c r="G100" s="7" t="s">
        <v>17</v>
      </c>
      <c r="H100" s="9">
        <v>42025</v>
      </c>
      <c r="I100" s="9">
        <v>42025</v>
      </c>
      <c r="J100" s="10">
        <v>0.28499999999999998</v>
      </c>
      <c r="K100" s="10">
        <v>0.20499999999999999</v>
      </c>
      <c r="L100" s="11">
        <v>45200</v>
      </c>
      <c r="M100" s="8">
        <v>67169</v>
      </c>
      <c r="N100" s="8">
        <v>50554</v>
      </c>
      <c r="O100" t="b">
        <v>0</v>
      </c>
      <c r="P100">
        <f t="shared" si="1"/>
        <v>0</v>
      </c>
    </row>
    <row r="101" spans="2:16" ht="30.75" thickBot="1" x14ac:dyDescent="0.3">
      <c r="B101" s="6" t="s">
        <v>219</v>
      </c>
      <c r="C101" s="7" t="s">
        <v>220</v>
      </c>
      <c r="D101" s="7" t="s">
        <v>15</v>
      </c>
      <c r="E101" s="8">
        <v>36800</v>
      </c>
      <c r="F101" s="7" t="s">
        <v>16</v>
      </c>
      <c r="G101" s="7" t="s">
        <v>17</v>
      </c>
      <c r="H101" s="9">
        <v>41305</v>
      </c>
      <c r="I101" s="9">
        <v>40990</v>
      </c>
      <c r="J101" s="10">
        <v>0.20300000000000001</v>
      </c>
      <c r="K101" s="10">
        <v>0.184</v>
      </c>
      <c r="L101" s="11">
        <v>45200</v>
      </c>
      <c r="M101" s="8">
        <v>59293</v>
      </c>
      <c r="N101" s="8">
        <v>48656</v>
      </c>
      <c r="O101" t="b">
        <v>0</v>
      </c>
      <c r="P101">
        <f t="shared" si="1"/>
        <v>0</v>
      </c>
    </row>
    <row r="102" spans="2:16" ht="30.75" thickBot="1" x14ac:dyDescent="0.3">
      <c r="B102" s="6" t="s">
        <v>222</v>
      </c>
      <c r="C102" s="7" t="s">
        <v>223</v>
      </c>
      <c r="D102" s="7" t="s">
        <v>15</v>
      </c>
      <c r="E102" s="8">
        <v>36800</v>
      </c>
      <c r="F102" s="7" t="s">
        <v>16</v>
      </c>
      <c r="G102" s="7" t="s">
        <v>17</v>
      </c>
      <c r="H102" s="9">
        <v>39541</v>
      </c>
      <c r="I102" s="9">
        <v>39541</v>
      </c>
      <c r="J102" s="10">
        <v>0.20599999999999999</v>
      </c>
      <c r="K102" s="10">
        <v>0.17699999999999999</v>
      </c>
      <c r="L102" s="11">
        <v>45170</v>
      </c>
      <c r="M102" s="8">
        <v>57104</v>
      </c>
      <c r="N102" s="8">
        <v>57104</v>
      </c>
      <c r="O102" t="b">
        <v>0</v>
      </c>
      <c r="P102">
        <f t="shared" si="1"/>
        <v>0</v>
      </c>
    </row>
    <row r="103" spans="2:16" ht="30.75" thickBot="1" x14ac:dyDescent="0.3">
      <c r="B103" s="6" t="s">
        <v>224</v>
      </c>
      <c r="C103" s="7" t="s">
        <v>225</v>
      </c>
      <c r="D103" s="7" t="s">
        <v>15</v>
      </c>
      <c r="E103" s="8">
        <v>36800</v>
      </c>
      <c r="F103" s="7" t="s">
        <v>16</v>
      </c>
      <c r="G103" s="7" t="s">
        <v>17</v>
      </c>
      <c r="H103" s="9">
        <v>39448</v>
      </c>
      <c r="I103" s="9">
        <v>39356</v>
      </c>
      <c r="J103" s="10">
        <v>0.26</v>
      </c>
      <c r="K103" s="10">
        <v>0.22500000000000001</v>
      </c>
      <c r="L103" s="11">
        <v>45231</v>
      </c>
      <c r="M103" s="8">
        <v>72664</v>
      </c>
      <c r="N103" s="8">
        <v>58434</v>
      </c>
      <c r="O103" t="b">
        <v>1</v>
      </c>
      <c r="P103">
        <f t="shared" si="1"/>
        <v>36800</v>
      </c>
    </row>
    <row r="104" spans="2:16" ht="45.75" thickBot="1" x14ac:dyDescent="0.3">
      <c r="B104" s="6" t="s">
        <v>226</v>
      </c>
      <c r="C104" s="7" t="s">
        <v>227</v>
      </c>
      <c r="D104" s="7" t="s">
        <v>15</v>
      </c>
      <c r="E104" s="8">
        <v>36300</v>
      </c>
      <c r="F104" s="7" t="s">
        <v>16</v>
      </c>
      <c r="G104" s="7" t="s">
        <v>17</v>
      </c>
      <c r="H104" s="9">
        <v>42794</v>
      </c>
      <c r="I104" s="9">
        <v>42794</v>
      </c>
      <c r="J104" s="10">
        <v>0.3</v>
      </c>
      <c r="K104" s="10">
        <v>0.23300000000000001</v>
      </c>
      <c r="L104" s="11">
        <v>45231</v>
      </c>
      <c r="M104" s="8">
        <v>74224</v>
      </c>
      <c r="N104" s="8">
        <v>50257</v>
      </c>
      <c r="O104" t="b">
        <v>1</v>
      </c>
      <c r="P104">
        <f t="shared" si="1"/>
        <v>36300</v>
      </c>
    </row>
    <row r="105" spans="2:16" ht="45.75" thickBot="1" x14ac:dyDescent="0.3">
      <c r="B105" s="6" t="s">
        <v>228</v>
      </c>
      <c r="C105" s="7" t="s">
        <v>229</v>
      </c>
      <c r="D105" s="7" t="s">
        <v>15</v>
      </c>
      <c r="E105" s="8">
        <v>36000</v>
      </c>
      <c r="F105" s="7" t="s">
        <v>16</v>
      </c>
      <c r="G105" s="7" t="s">
        <v>22</v>
      </c>
      <c r="H105" s="9">
        <v>45062</v>
      </c>
      <c r="I105" s="9">
        <v>45041</v>
      </c>
      <c r="J105" s="12"/>
      <c r="K105" s="12"/>
      <c r="L105" s="11">
        <v>45231</v>
      </c>
      <c r="M105" s="8">
        <v>38423</v>
      </c>
      <c r="N105" s="12"/>
      <c r="O105" t="b">
        <v>1</v>
      </c>
      <c r="P105">
        <f t="shared" si="1"/>
        <v>36000</v>
      </c>
    </row>
    <row r="106" spans="2:16" ht="30.75" thickBot="1" x14ac:dyDescent="0.3">
      <c r="B106" s="6" t="s">
        <v>230</v>
      </c>
      <c r="C106" s="7" t="s">
        <v>231</v>
      </c>
      <c r="D106" s="7" t="s">
        <v>88</v>
      </c>
      <c r="E106" s="8">
        <v>36000</v>
      </c>
      <c r="F106" s="7" t="s">
        <v>16</v>
      </c>
      <c r="G106" s="7" t="s">
        <v>17</v>
      </c>
      <c r="H106" s="9">
        <v>41122</v>
      </c>
      <c r="I106" s="9">
        <v>41122</v>
      </c>
      <c r="J106" s="10">
        <v>0.28499999999999998</v>
      </c>
      <c r="K106" s="10">
        <v>0.245</v>
      </c>
      <c r="L106" s="11">
        <v>45200</v>
      </c>
      <c r="M106" s="8">
        <v>77320</v>
      </c>
      <c r="N106" s="8">
        <v>68623</v>
      </c>
      <c r="O106" t="b">
        <v>0</v>
      </c>
      <c r="P106">
        <f t="shared" si="1"/>
        <v>0</v>
      </c>
    </row>
    <row r="107" spans="2:16" ht="30.75" thickBot="1" x14ac:dyDescent="0.3">
      <c r="B107" s="6" t="s">
        <v>232</v>
      </c>
      <c r="C107" s="7" t="s">
        <v>233</v>
      </c>
      <c r="D107" s="7" t="s">
        <v>15</v>
      </c>
      <c r="E107" s="8">
        <v>35000</v>
      </c>
      <c r="F107" s="7" t="s">
        <v>16</v>
      </c>
      <c r="G107" s="7" t="s">
        <v>22</v>
      </c>
      <c r="H107" s="9">
        <v>44515</v>
      </c>
      <c r="I107" s="9">
        <v>44496</v>
      </c>
      <c r="J107" s="10">
        <v>0.29199999999999998</v>
      </c>
      <c r="K107" s="10">
        <v>0.28299999999999997</v>
      </c>
      <c r="L107" s="11">
        <v>45231</v>
      </c>
      <c r="M107" s="8">
        <v>86666</v>
      </c>
      <c r="N107" s="12"/>
      <c r="O107" t="b">
        <v>1</v>
      </c>
      <c r="P107">
        <f t="shared" si="1"/>
        <v>35000</v>
      </c>
    </row>
    <row r="108" spans="2:16" ht="45.75" thickBot="1" x14ac:dyDescent="0.3">
      <c r="B108" s="6" t="s">
        <v>234</v>
      </c>
      <c r="C108" s="7" t="s">
        <v>235</v>
      </c>
      <c r="D108" s="7" t="s">
        <v>88</v>
      </c>
      <c r="E108" s="8">
        <v>34850</v>
      </c>
      <c r="F108" s="7" t="s">
        <v>16</v>
      </c>
      <c r="G108" s="7" t="s">
        <v>17</v>
      </c>
      <c r="H108" s="9">
        <v>42688</v>
      </c>
      <c r="I108" s="9">
        <v>42688</v>
      </c>
      <c r="J108" s="10">
        <v>0.27400000000000002</v>
      </c>
      <c r="K108" s="10">
        <v>0.27</v>
      </c>
      <c r="L108" s="11">
        <v>45200</v>
      </c>
      <c r="M108" s="8">
        <v>82562</v>
      </c>
      <c r="N108" s="8">
        <v>69041</v>
      </c>
      <c r="O108" t="b">
        <v>1</v>
      </c>
      <c r="P108">
        <f t="shared" si="1"/>
        <v>34850</v>
      </c>
    </row>
    <row r="109" spans="2:16" ht="45.75" thickBot="1" x14ac:dyDescent="0.3">
      <c r="B109" s="6" t="s">
        <v>236</v>
      </c>
      <c r="C109" s="7" t="s">
        <v>237</v>
      </c>
      <c r="D109" s="7" t="s">
        <v>77</v>
      </c>
      <c r="E109" s="8">
        <v>34500</v>
      </c>
      <c r="F109" s="7" t="s">
        <v>16</v>
      </c>
      <c r="G109" s="7" t="s">
        <v>17</v>
      </c>
      <c r="H109" s="9">
        <v>42652</v>
      </c>
      <c r="I109" s="9">
        <v>42652</v>
      </c>
      <c r="J109" s="10">
        <v>0.30599999999999999</v>
      </c>
      <c r="K109" s="10">
        <v>0.29499999999999998</v>
      </c>
      <c r="L109" s="11">
        <v>45200</v>
      </c>
      <c r="M109" s="8">
        <v>89132</v>
      </c>
      <c r="N109" s="8">
        <v>73565</v>
      </c>
      <c r="O109" t="b">
        <v>0</v>
      </c>
      <c r="P109">
        <f t="shared" si="1"/>
        <v>0</v>
      </c>
    </row>
    <row r="110" spans="2:16" ht="45.75" thickBot="1" x14ac:dyDescent="0.3">
      <c r="B110" s="6" t="s">
        <v>238</v>
      </c>
      <c r="C110" s="7" t="s">
        <v>239</v>
      </c>
      <c r="D110" s="7" t="s">
        <v>25</v>
      </c>
      <c r="E110" s="8">
        <v>34500</v>
      </c>
      <c r="F110" s="7" t="s">
        <v>16</v>
      </c>
      <c r="G110" s="7" t="s">
        <v>17</v>
      </c>
      <c r="H110" s="9">
        <v>41207</v>
      </c>
      <c r="I110" s="9">
        <v>41207</v>
      </c>
      <c r="J110" s="10">
        <v>0.31</v>
      </c>
      <c r="K110" s="10">
        <v>0.27300000000000002</v>
      </c>
      <c r="L110" s="11">
        <v>45231</v>
      </c>
      <c r="M110" s="8">
        <v>82638</v>
      </c>
      <c r="N110" s="8">
        <v>60886</v>
      </c>
      <c r="O110" t="b">
        <v>1</v>
      </c>
      <c r="P110">
        <f t="shared" si="1"/>
        <v>34500</v>
      </c>
    </row>
    <row r="111" spans="2:16" ht="30.75" thickBot="1" x14ac:dyDescent="0.3">
      <c r="B111" s="6" t="s">
        <v>240</v>
      </c>
      <c r="C111" s="7" t="s">
        <v>241</v>
      </c>
      <c r="D111" s="7" t="s">
        <v>25</v>
      </c>
      <c r="E111" s="8">
        <v>34000</v>
      </c>
      <c r="F111" s="7" t="s">
        <v>16</v>
      </c>
      <c r="G111" s="7" t="s">
        <v>17</v>
      </c>
      <c r="H111" s="9">
        <v>42788</v>
      </c>
      <c r="I111" s="9">
        <v>42788</v>
      </c>
      <c r="J111" s="10">
        <v>0.34300000000000003</v>
      </c>
      <c r="K111" s="10">
        <v>0.33500000000000002</v>
      </c>
      <c r="L111" s="11">
        <v>45200</v>
      </c>
      <c r="M111" s="8">
        <v>99668</v>
      </c>
      <c r="N111" s="8">
        <v>81968</v>
      </c>
      <c r="O111" t="b">
        <v>0</v>
      </c>
      <c r="P111">
        <f t="shared" si="1"/>
        <v>0</v>
      </c>
    </row>
    <row r="112" spans="2:16" ht="45.75" thickBot="1" x14ac:dyDescent="0.3">
      <c r="B112" s="6" t="s">
        <v>242</v>
      </c>
      <c r="C112" s="7" t="s">
        <v>243</v>
      </c>
      <c r="D112" s="7" t="s">
        <v>88</v>
      </c>
      <c r="E112" s="8">
        <v>32800</v>
      </c>
      <c r="F112" s="7" t="s">
        <v>16</v>
      </c>
      <c r="G112" s="7" t="s">
        <v>17</v>
      </c>
      <c r="H112" s="9">
        <v>41527</v>
      </c>
      <c r="I112" s="9">
        <v>41527</v>
      </c>
      <c r="J112" s="10">
        <v>0.27200000000000002</v>
      </c>
      <c r="K112" s="10">
        <v>0.252</v>
      </c>
      <c r="L112" s="11">
        <v>45200</v>
      </c>
      <c r="M112" s="8">
        <v>72364</v>
      </c>
      <c r="N112" s="8">
        <v>60665</v>
      </c>
      <c r="O112" t="b">
        <v>1</v>
      </c>
      <c r="P112">
        <f t="shared" si="1"/>
        <v>32800</v>
      </c>
    </row>
    <row r="113" spans="2:16" ht="30.75" thickBot="1" x14ac:dyDescent="0.3">
      <c r="B113" s="6" t="s">
        <v>244</v>
      </c>
      <c r="C113" s="7" t="s">
        <v>245</v>
      </c>
      <c r="D113" s="7" t="s">
        <v>15</v>
      </c>
      <c r="E113" s="8">
        <v>32400</v>
      </c>
      <c r="F113" s="7" t="s">
        <v>16</v>
      </c>
      <c r="G113" s="7" t="s">
        <v>17</v>
      </c>
      <c r="H113" s="9">
        <v>43130</v>
      </c>
      <c r="I113" s="9">
        <v>43130</v>
      </c>
      <c r="J113" s="10">
        <v>0.39100000000000001</v>
      </c>
      <c r="K113" s="10">
        <v>0.33800000000000002</v>
      </c>
      <c r="L113" s="11">
        <v>45231</v>
      </c>
      <c r="M113" s="8">
        <v>95806</v>
      </c>
      <c r="N113" s="8">
        <v>70741</v>
      </c>
      <c r="O113" t="b">
        <v>1</v>
      </c>
      <c r="P113">
        <f t="shared" si="1"/>
        <v>32400</v>
      </c>
    </row>
    <row r="114" spans="2:16" ht="45.75" thickBot="1" x14ac:dyDescent="0.3">
      <c r="B114" s="6" t="s">
        <v>246</v>
      </c>
      <c r="C114" s="7" t="s">
        <v>247</v>
      </c>
      <c r="D114" s="7" t="s">
        <v>25</v>
      </c>
      <c r="E114" s="8">
        <v>32210</v>
      </c>
      <c r="F114" s="7" t="s">
        <v>16</v>
      </c>
      <c r="G114" s="7" t="s">
        <v>38</v>
      </c>
      <c r="H114" s="9">
        <v>43651</v>
      </c>
      <c r="I114" s="9">
        <v>43544</v>
      </c>
      <c r="J114" s="10">
        <v>0.35099999999999998</v>
      </c>
      <c r="K114" s="10">
        <v>0.35899999999999999</v>
      </c>
      <c r="L114" s="11">
        <v>45231</v>
      </c>
      <c r="M114" s="8">
        <v>101207</v>
      </c>
      <c r="N114" s="12"/>
      <c r="O114" t="b">
        <v>1</v>
      </c>
      <c r="P114">
        <f t="shared" si="1"/>
        <v>32210</v>
      </c>
    </row>
    <row r="115" spans="2:16" ht="45.75" thickBot="1" x14ac:dyDescent="0.3">
      <c r="B115" s="6" t="s">
        <v>248</v>
      </c>
      <c r="C115" s="7" t="s">
        <v>249</v>
      </c>
      <c r="D115" s="7" t="s">
        <v>77</v>
      </c>
      <c r="E115" s="8">
        <v>32200</v>
      </c>
      <c r="F115" s="7" t="s">
        <v>16</v>
      </c>
      <c r="G115" s="7" t="s">
        <v>17</v>
      </c>
      <c r="H115" s="9">
        <v>41032</v>
      </c>
      <c r="I115" s="9">
        <v>41032</v>
      </c>
      <c r="J115" s="10">
        <v>0.218</v>
      </c>
      <c r="K115" s="10">
        <v>0.186</v>
      </c>
      <c r="L115" s="11">
        <v>45200</v>
      </c>
      <c r="M115" s="8">
        <v>52509</v>
      </c>
      <c r="N115" s="8">
        <v>48881</v>
      </c>
      <c r="O115" t="b">
        <v>0</v>
      </c>
      <c r="P115">
        <f t="shared" si="1"/>
        <v>0</v>
      </c>
    </row>
    <row r="116" spans="2:16" ht="45.75" thickBot="1" x14ac:dyDescent="0.3">
      <c r="B116" s="6" t="s">
        <v>250</v>
      </c>
      <c r="C116" s="7" t="s">
        <v>251</v>
      </c>
      <c r="D116" s="7" t="s">
        <v>15</v>
      </c>
      <c r="E116" s="8">
        <v>32200</v>
      </c>
      <c r="F116" s="7" t="s">
        <v>16</v>
      </c>
      <c r="G116" s="7" t="s">
        <v>17</v>
      </c>
      <c r="H116" s="9">
        <v>41547</v>
      </c>
      <c r="I116" s="9">
        <v>41547</v>
      </c>
      <c r="J116" s="10">
        <v>0.317</v>
      </c>
      <c r="K116" s="10">
        <v>0.26500000000000001</v>
      </c>
      <c r="L116" s="11">
        <v>45231</v>
      </c>
      <c r="M116" s="8">
        <v>74759</v>
      </c>
      <c r="N116" s="8">
        <v>56754</v>
      </c>
      <c r="O116" t="b">
        <v>0</v>
      </c>
      <c r="P116">
        <f t="shared" si="1"/>
        <v>0</v>
      </c>
    </row>
    <row r="117" spans="2:16" ht="60.75" thickBot="1" x14ac:dyDescent="0.3">
      <c r="B117" s="6" t="s">
        <v>252</v>
      </c>
      <c r="C117" s="7" t="s">
        <v>253</v>
      </c>
      <c r="D117" s="7" t="s">
        <v>25</v>
      </c>
      <c r="E117" s="8">
        <v>32000</v>
      </c>
      <c r="F117" s="7" t="s">
        <v>16</v>
      </c>
      <c r="G117" s="7" t="s">
        <v>17</v>
      </c>
      <c r="H117" s="9">
        <v>38687</v>
      </c>
      <c r="I117" s="9">
        <v>38687</v>
      </c>
      <c r="J117" s="10">
        <v>0.21199999999999999</v>
      </c>
      <c r="K117" s="10">
        <v>0.187</v>
      </c>
      <c r="L117" s="11">
        <v>45231</v>
      </c>
      <c r="M117" s="8">
        <v>52423</v>
      </c>
      <c r="N117" s="8">
        <v>42250</v>
      </c>
      <c r="O117" t="b">
        <v>0</v>
      </c>
      <c r="P117">
        <f t="shared" si="1"/>
        <v>0</v>
      </c>
    </row>
    <row r="118" spans="2:16" ht="30.75" thickBot="1" x14ac:dyDescent="0.3">
      <c r="B118" s="6" t="s">
        <v>254</v>
      </c>
      <c r="C118" s="7" t="s">
        <v>255</v>
      </c>
      <c r="D118" s="7" t="s">
        <v>88</v>
      </c>
      <c r="E118" s="8">
        <v>31050</v>
      </c>
      <c r="F118" s="7" t="s">
        <v>16</v>
      </c>
      <c r="G118" s="7" t="s">
        <v>17</v>
      </c>
      <c r="H118" s="9">
        <v>42823</v>
      </c>
      <c r="I118" s="9">
        <v>42823</v>
      </c>
      <c r="J118" s="10">
        <v>0.2</v>
      </c>
      <c r="K118" s="10">
        <v>0.191</v>
      </c>
      <c r="L118" s="11">
        <v>45200</v>
      </c>
      <c r="M118" s="8">
        <v>51992</v>
      </c>
      <c r="N118" s="8">
        <v>42012</v>
      </c>
      <c r="O118" t="b">
        <v>0</v>
      </c>
      <c r="P118">
        <f t="shared" si="1"/>
        <v>0</v>
      </c>
    </row>
    <row r="119" spans="2:16" ht="60.75" thickBot="1" x14ac:dyDescent="0.3">
      <c r="B119" s="6" t="s">
        <v>256</v>
      </c>
      <c r="C119" s="7" t="s">
        <v>257</v>
      </c>
      <c r="D119" s="7" t="s">
        <v>15</v>
      </c>
      <c r="E119" s="8">
        <v>30900</v>
      </c>
      <c r="F119" s="7" t="s">
        <v>16</v>
      </c>
      <c r="G119" s="7" t="s">
        <v>17</v>
      </c>
      <c r="H119" s="9">
        <v>42811</v>
      </c>
      <c r="I119" s="9">
        <v>42803</v>
      </c>
      <c r="J119" s="10">
        <v>0.30399999999999999</v>
      </c>
      <c r="K119" s="10">
        <v>0.214</v>
      </c>
      <c r="L119" s="11">
        <v>45231</v>
      </c>
      <c r="M119" s="8">
        <v>58048</v>
      </c>
      <c r="N119" s="8">
        <v>41458</v>
      </c>
      <c r="O119" t="b">
        <v>0</v>
      </c>
      <c r="P119">
        <f t="shared" si="1"/>
        <v>0</v>
      </c>
    </row>
    <row r="120" spans="2:16" ht="30.75" thickBot="1" x14ac:dyDescent="0.3">
      <c r="B120" s="6" t="s">
        <v>258</v>
      </c>
      <c r="C120" s="7" t="s">
        <v>259</v>
      </c>
      <c r="D120" s="7" t="s">
        <v>15</v>
      </c>
      <c r="E120" s="8">
        <v>30750</v>
      </c>
      <c r="F120" s="7" t="s">
        <v>16</v>
      </c>
      <c r="G120" s="7" t="s">
        <v>17</v>
      </c>
      <c r="H120" s="9">
        <v>40460</v>
      </c>
      <c r="I120" s="9">
        <v>40460</v>
      </c>
      <c r="J120" s="10">
        <v>0.34399999999999997</v>
      </c>
      <c r="K120" s="10">
        <v>0.308</v>
      </c>
      <c r="L120" s="11">
        <v>45200</v>
      </c>
      <c r="M120" s="8">
        <v>83047</v>
      </c>
      <c r="N120" s="8">
        <v>72360</v>
      </c>
      <c r="O120" t="b">
        <v>0</v>
      </c>
      <c r="P120">
        <f t="shared" si="1"/>
        <v>0</v>
      </c>
    </row>
    <row r="121" spans="2:16" ht="30.75" thickBot="1" x14ac:dyDescent="0.3">
      <c r="B121" s="6" t="s">
        <v>260</v>
      </c>
      <c r="C121" s="7" t="s">
        <v>261</v>
      </c>
      <c r="D121" s="7" t="s">
        <v>15</v>
      </c>
      <c r="E121" s="8">
        <v>30100</v>
      </c>
      <c r="F121" s="7" t="s">
        <v>16</v>
      </c>
      <c r="G121" s="7" t="s">
        <v>17</v>
      </c>
      <c r="H121" s="9">
        <v>42634</v>
      </c>
      <c r="I121" s="9">
        <v>42634</v>
      </c>
      <c r="J121" s="10">
        <v>0.248</v>
      </c>
      <c r="K121" s="10">
        <v>0.253</v>
      </c>
      <c r="L121" s="11">
        <v>45200</v>
      </c>
      <c r="M121" s="8">
        <v>66707</v>
      </c>
      <c r="N121" s="8">
        <v>53901</v>
      </c>
      <c r="O121" t="b">
        <v>1</v>
      </c>
      <c r="P121">
        <f t="shared" si="1"/>
        <v>30100</v>
      </c>
    </row>
    <row r="122" spans="2:16" ht="30.75" thickBot="1" x14ac:dyDescent="0.3">
      <c r="B122" s="6" t="s">
        <v>262</v>
      </c>
      <c r="C122" s="7" t="s">
        <v>263</v>
      </c>
      <c r="D122" s="7" t="s">
        <v>88</v>
      </c>
      <c r="E122" s="8">
        <v>30000</v>
      </c>
      <c r="F122" s="7" t="s">
        <v>16</v>
      </c>
      <c r="G122" s="7" t="s">
        <v>17</v>
      </c>
      <c r="H122" s="9">
        <v>39804</v>
      </c>
      <c r="I122" s="9">
        <v>39804</v>
      </c>
      <c r="J122" s="10">
        <v>0.26800000000000002</v>
      </c>
      <c r="K122" s="10">
        <v>0.224</v>
      </c>
      <c r="L122" s="11">
        <v>45231</v>
      </c>
      <c r="M122" s="8">
        <v>58982</v>
      </c>
      <c r="N122" s="8">
        <v>46769</v>
      </c>
      <c r="O122" t="b">
        <v>0</v>
      </c>
      <c r="P122">
        <f t="shared" si="1"/>
        <v>0</v>
      </c>
    </row>
    <row r="123" spans="2:16" ht="30.75" thickBot="1" x14ac:dyDescent="0.3">
      <c r="B123" s="6" t="s">
        <v>264</v>
      </c>
      <c r="C123" s="7" t="s">
        <v>265</v>
      </c>
      <c r="D123" s="7" t="s">
        <v>77</v>
      </c>
      <c r="E123" s="8">
        <v>30000</v>
      </c>
      <c r="F123" s="7" t="s">
        <v>16</v>
      </c>
      <c r="G123" s="7" t="s">
        <v>17</v>
      </c>
      <c r="H123" s="9">
        <v>41904</v>
      </c>
      <c r="I123" s="9">
        <v>41904</v>
      </c>
      <c r="J123" s="10">
        <v>0.14799999999999999</v>
      </c>
      <c r="K123" s="10">
        <v>0.128</v>
      </c>
      <c r="L123" s="11">
        <v>45200</v>
      </c>
      <c r="M123" s="8">
        <v>33547</v>
      </c>
      <c r="N123" s="8">
        <v>27823</v>
      </c>
      <c r="O123" t="b">
        <v>0</v>
      </c>
      <c r="P123">
        <f t="shared" si="1"/>
        <v>0</v>
      </c>
    </row>
    <row r="124" spans="2:16" ht="60.75" thickBot="1" x14ac:dyDescent="0.3">
      <c r="B124" s="6" t="s">
        <v>266</v>
      </c>
      <c r="C124" s="7" t="s">
        <v>267</v>
      </c>
      <c r="D124" s="7" t="s">
        <v>15</v>
      </c>
      <c r="E124" s="8">
        <v>30000</v>
      </c>
      <c r="F124" s="7" t="s">
        <v>16</v>
      </c>
      <c r="G124" s="7" t="s">
        <v>17</v>
      </c>
      <c r="H124" s="9">
        <v>37956</v>
      </c>
      <c r="I124" s="9">
        <v>37956</v>
      </c>
      <c r="J124" s="10">
        <v>0.33400000000000002</v>
      </c>
      <c r="K124" s="10">
        <v>0.28999999999999998</v>
      </c>
      <c r="L124" s="11">
        <v>45231</v>
      </c>
      <c r="M124" s="8">
        <v>76154</v>
      </c>
      <c r="N124" s="8">
        <v>59417</v>
      </c>
      <c r="O124" t="b">
        <v>0</v>
      </c>
      <c r="P124">
        <f t="shared" si="1"/>
        <v>0</v>
      </c>
    </row>
    <row r="125" spans="2:16" ht="30.75" thickBot="1" x14ac:dyDescent="0.3">
      <c r="B125" s="6" t="s">
        <v>268</v>
      </c>
      <c r="C125" s="7" t="s">
        <v>269</v>
      </c>
      <c r="D125" s="7" t="s">
        <v>15</v>
      </c>
      <c r="E125" s="8">
        <v>30000</v>
      </c>
      <c r="F125" s="7" t="s">
        <v>16</v>
      </c>
      <c r="G125" s="7" t="s">
        <v>22</v>
      </c>
      <c r="H125" s="9">
        <v>44175</v>
      </c>
      <c r="I125" s="9">
        <v>44175</v>
      </c>
      <c r="J125" s="10">
        <v>0.29299999999999998</v>
      </c>
      <c r="K125" s="10">
        <v>0.219</v>
      </c>
      <c r="L125" s="11">
        <v>45231</v>
      </c>
      <c r="M125" s="8">
        <v>57439</v>
      </c>
      <c r="N125" s="12"/>
      <c r="O125" t="b">
        <v>1</v>
      </c>
      <c r="P125">
        <f t="shared" si="1"/>
        <v>30000</v>
      </c>
    </row>
    <row r="126" spans="2:16" ht="45.75" thickBot="1" x14ac:dyDescent="0.3">
      <c r="B126" s="6" t="s">
        <v>270</v>
      </c>
      <c r="C126" s="7" t="s">
        <v>271</v>
      </c>
      <c r="D126" s="7" t="s">
        <v>15</v>
      </c>
      <c r="E126" s="8">
        <v>30000</v>
      </c>
      <c r="F126" s="7" t="s">
        <v>16</v>
      </c>
      <c r="G126" s="7" t="s">
        <v>38</v>
      </c>
      <c r="H126" s="9">
        <v>43863</v>
      </c>
      <c r="I126" s="9">
        <v>43641</v>
      </c>
      <c r="J126" s="10">
        <v>0.25</v>
      </c>
      <c r="K126" s="10">
        <v>0.2</v>
      </c>
      <c r="L126" s="11">
        <v>45231</v>
      </c>
      <c r="M126" s="8">
        <v>52466</v>
      </c>
      <c r="N126" s="12"/>
      <c r="O126" t="b">
        <v>1</v>
      </c>
      <c r="P126">
        <f t="shared" si="1"/>
        <v>30000</v>
      </c>
    </row>
    <row r="127" spans="2:16" ht="45.75" thickBot="1" x14ac:dyDescent="0.3">
      <c r="B127" s="6" t="s">
        <v>272</v>
      </c>
      <c r="C127" s="7" t="s">
        <v>273</v>
      </c>
      <c r="D127" s="7" t="s">
        <v>77</v>
      </c>
      <c r="E127" s="8">
        <v>30000</v>
      </c>
      <c r="F127" s="7" t="s">
        <v>16</v>
      </c>
      <c r="G127" s="7" t="s">
        <v>17</v>
      </c>
      <c r="H127" s="9">
        <v>39770</v>
      </c>
      <c r="I127" s="9">
        <v>39770</v>
      </c>
      <c r="J127" s="10">
        <v>0.21099999999999999</v>
      </c>
      <c r="K127" s="10">
        <v>0.17100000000000001</v>
      </c>
      <c r="L127" s="11">
        <v>45200</v>
      </c>
      <c r="M127" s="8">
        <v>44820</v>
      </c>
      <c r="N127" s="8">
        <v>41087</v>
      </c>
      <c r="O127" t="b">
        <v>0</v>
      </c>
      <c r="P127">
        <f t="shared" si="1"/>
        <v>0</v>
      </c>
    </row>
    <row r="128" spans="2:16" ht="60.75" thickBot="1" x14ac:dyDescent="0.3">
      <c r="B128" s="6" t="s">
        <v>274</v>
      </c>
      <c r="C128" s="7" t="s">
        <v>275</v>
      </c>
      <c r="D128" s="7" t="s">
        <v>15</v>
      </c>
      <c r="E128" s="8">
        <v>30000</v>
      </c>
      <c r="F128" s="7" t="s">
        <v>16</v>
      </c>
      <c r="G128" s="7" t="s">
        <v>17</v>
      </c>
      <c r="H128" s="9">
        <v>41675</v>
      </c>
      <c r="I128" s="9">
        <v>41675</v>
      </c>
      <c r="J128" s="10">
        <v>0.26600000000000001</v>
      </c>
      <c r="K128" s="10">
        <v>0.22900000000000001</v>
      </c>
      <c r="L128" s="11">
        <v>45231</v>
      </c>
      <c r="M128" s="8">
        <v>60138</v>
      </c>
      <c r="N128" s="8">
        <v>43865</v>
      </c>
      <c r="O128" t="b">
        <v>0</v>
      </c>
      <c r="P128">
        <f t="shared" si="1"/>
        <v>0</v>
      </c>
    </row>
    <row r="129" spans="2:16" ht="45.75" thickBot="1" x14ac:dyDescent="0.3">
      <c r="B129" s="6" t="s">
        <v>276</v>
      </c>
      <c r="C129" s="7" t="s">
        <v>277</v>
      </c>
      <c r="D129" s="7" t="s">
        <v>15</v>
      </c>
      <c r="E129" s="8">
        <v>30000</v>
      </c>
      <c r="F129" s="7" t="s">
        <v>16</v>
      </c>
      <c r="G129" s="7" t="s">
        <v>17</v>
      </c>
      <c r="H129" s="9">
        <v>39479</v>
      </c>
      <c r="I129" s="9">
        <v>39356</v>
      </c>
      <c r="J129" s="10">
        <v>0.22500000000000001</v>
      </c>
      <c r="K129" s="10">
        <v>0.17499999999999999</v>
      </c>
      <c r="L129" s="11">
        <v>45231</v>
      </c>
      <c r="M129" s="8">
        <v>46035</v>
      </c>
      <c r="N129" s="8">
        <v>38522</v>
      </c>
      <c r="O129" t="b">
        <v>1</v>
      </c>
      <c r="P129">
        <f t="shared" si="1"/>
        <v>30000</v>
      </c>
    </row>
    <row r="130" spans="2:16" ht="30.75" thickBot="1" x14ac:dyDescent="0.3">
      <c r="B130" s="6" t="s">
        <v>278</v>
      </c>
      <c r="C130" s="7" t="s">
        <v>279</v>
      </c>
      <c r="D130" s="7" t="s">
        <v>15</v>
      </c>
      <c r="E130" s="8">
        <v>29930</v>
      </c>
      <c r="F130" s="7" t="s">
        <v>16</v>
      </c>
      <c r="G130" s="7" t="s">
        <v>38</v>
      </c>
      <c r="H130" s="9">
        <v>44460</v>
      </c>
      <c r="I130" s="9">
        <v>44162</v>
      </c>
      <c r="J130" s="10">
        <v>0.311</v>
      </c>
      <c r="K130" s="10">
        <v>0.28699999999999998</v>
      </c>
      <c r="L130" s="11">
        <v>45231</v>
      </c>
      <c r="M130" s="8">
        <v>75147</v>
      </c>
      <c r="N130" s="12"/>
      <c r="O130" t="b">
        <v>1</v>
      </c>
      <c r="P130">
        <f t="shared" si="1"/>
        <v>29930</v>
      </c>
    </row>
    <row r="131" spans="2:16" ht="30.75" thickBot="1" x14ac:dyDescent="0.3">
      <c r="B131" s="6" t="s">
        <v>280</v>
      </c>
      <c r="C131" s="7" t="s">
        <v>281</v>
      </c>
      <c r="D131" s="7" t="s">
        <v>15</v>
      </c>
      <c r="E131" s="8">
        <v>29900</v>
      </c>
      <c r="F131" s="7" t="s">
        <v>16</v>
      </c>
      <c r="G131" s="7" t="s">
        <v>17</v>
      </c>
      <c r="H131" s="9">
        <v>42223</v>
      </c>
      <c r="I131" s="9">
        <v>42223</v>
      </c>
      <c r="J131" s="10">
        <v>0.314</v>
      </c>
      <c r="K131" s="10">
        <v>0.312</v>
      </c>
      <c r="L131" s="11">
        <v>45200</v>
      </c>
      <c r="M131" s="8">
        <v>81695</v>
      </c>
      <c r="N131" s="8">
        <v>56484</v>
      </c>
      <c r="O131" t="b">
        <v>0</v>
      </c>
      <c r="P131">
        <f t="shared" ref="P131:P194" si="2">IF(O131,E131,0)</f>
        <v>0</v>
      </c>
    </row>
    <row r="132" spans="2:16" ht="60.75" thickBot="1" x14ac:dyDescent="0.3">
      <c r="B132" s="6" t="s">
        <v>282</v>
      </c>
      <c r="C132" s="7" t="s">
        <v>283</v>
      </c>
      <c r="D132" s="7" t="s">
        <v>15</v>
      </c>
      <c r="E132" s="8">
        <v>29750</v>
      </c>
      <c r="F132" s="7" t="s">
        <v>16</v>
      </c>
      <c r="G132" s="7" t="s">
        <v>17</v>
      </c>
      <c r="H132" s="9">
        <v>38687</v>
      </c>
      <c r="I132" s="9">
        <v>38687</v>
      </c>
      <c r="J132" s="10">
        <v>0.25</v>
      </c>
      <c r="K132" s="10">
        <v>0.20499999999999999</v>
      </c>
      <c r="L132" s="11">
        <v>45200</v>
      </c>
      <c r="M132" s="8">
        <v>53420</v>
      </c>
      <c r="N132" s="8">
        <v>46615</v>
      </c>
      <c r="O132" t="b">
        <v>1</v>
      </c>
      <c r="P132">
        <f t="shared" si="2"/>
        <v>29750</v>
      </c>
    </row>
    <row r="133" spans="2:16" ht="60.75" thickBot="1" x14ac:dyDescent="0.3">
      <c r="B133" s="6" t="s">
        <v>284</v>
      </c>
      <c r="C133" s="7" t="s">
        <v>285</v>
      </c>
      <c r="D133" s="7" t="s">
        <v>15</v>
      </c>
      <c r="E133" s="8">
        <v>29750</v>
      </c>
      <c r="F133" s="7" t="s">
        <v>16</v>
      </c>
      <c r="G133" s="7" t="s">
        <v>17</v>
      </c>
      <c r="H133" s="9">
        <v>37956</v>
      </c>
      <c r="I133" s="9">
        <v>37956</v>
      </c>
      <c r="J133" s="10">
        <v>0.20799999999999999</v>
      </c>
      <c r="K133" s="10">
        <v>0.192</v>
      </c>
      <c r="L133" s="11">
        <v>45200</v>
      </c>
      <c r="M133" s="8">
        <v>49970</v>
      </c>
      <c r="N133" s="8">
        <v>43733</v>
      </c>
      <c r="O133" t="b">
        <v>0</v>
      </c>
      <c r="P133">
        <f t="shared" si="2"/>
        <v>0</v>
      </c>
    </row>
    <row r="134" spans="2:16" ht="30.75" thickBot="1" x14ac:dyDescent="0.3">
      <c r="B134" s="6" t="s">
        <v>286</v>
      </c>
      <c r="C134" s="7" t="s">
        <v>287</v>
      </c>
      <c r="D134" s="7" t="s">
        <v>15</v>
      </c>
      <c r="E134" s="8">
        <v>29750</v>
      </c>
      <c r="F134" s="7" t="s">
        <v>16</v>
      </c>
      <c r="G134" s="7" t="s">
        <v>17</v>
      </c>
      <c r="H134" s="9">
        <v>40044</v>
      </c>
      <c r="I134" s="9">
        <v>39989</v>
      </c>
      <c r="J134" s="10">
        <v>0.23499999999999999</v>
      </c>
      <c r="K134" s="10">
        <v>0.20100000000000001</v>
      </c>
      <c r="L134" s="11">
        <v>45200</v>
      </c>
      <c r="M134" s="8">
        <v>52448</v>
      </c>
      <c r="N134" s="8">
        <v>45788</v>
      </c>
      <c r="O134" t="b">
        <v>1</v>
      </c>
      <c r="P134">
        <f t="shared" si="2"/>
        <v>29750</v>
      </c>
    </row>
    <row r="135" spans="2:16" ht="45.75" thickBot="1" x14ac:dyDescent="0.3">
      <c r="B135" s="6" t="s">
        <v>288</v>
      </c>
      <c r="C135" s="7" t="s">
        <v>289</v>
      </c>
      <c r="D135" s="7" t="s">
        <v>88</v>
      </c>
      <c r="E135" s="8">
        <v>29700</v>
      </c>
      <c r="F135" s="7" t="s">
        <v>16</v>
      </c>
      <c r="G135" s="7" t="s">
        <v>17</v>
      </c>
      <c r="H135" s="9">
        <v>42411</v>
      </c>
      <c r="I135" s="9">
        <v>42411</v>
      </c>
      <c r="J135" s="10">
        <v>0.29699999999999999</v>
      </c>
      <c r="K135" s="10">
        <v>0.255</v>
      </c>
      <c r="L135" s="11">
        <v>45231</v>
      </c>
      <c r="M135" s="8">
        <v>66295</v>
      </c>
      <c r="N135" s="8">
        <v>51082</v>
      </c>
      <c r="O135" t="b">
        <v>0</v>
      </c>
      <c r="P135">
        <f t="shared" si="2"/>
        <v>0</v>
      </c>
    </row>
    <row r="136" spans="2:16" ht="30.75" thickBot="1" x14ac:dyDescent="0.3">
      <c r="B136" s="6" t="s">
        <v>290</v>
      </c>
      <c r="C136" s="7" t="s">
        <v>291</v>
      </c>
      <c r="D136" s="7" t="s">
        <v>15</v>
      </c>
      <c r="E136" s="8">
        <v>28700</v>
      </c>
      <c r="F136" s="7" t="s">
        <v>16</v>
      </c>
      <c r="G136" s="7" t="s">
        <v>17</v>
      </c>
      <c r="H136" s="9">
        <v>42537</v>
      </c>
      <c r="I136" s="9">
        <v>42537</v>
      </c>
      <c r="J136" s="10">
        <v>0.30299999999999999</v>
      </c>
      <c r="K136" s="10">
        <v>0.27400000000000002</v>
      </c>
      <c r="L136" s="11">
        <v>45231</v>
      </c>
      <c r="M136" s="8">
        <v>68779</v>
      </c>
      <c r="N136" s="8">
        <v>49401</v>
      </c>
      <c r="O136" t="b">
        <v>0</v>
      </c>
      <c r="P136">
        <f t="shared" si="2"/>
        <v>0</v>
      </c>
    </row>
    <row r="137" spans="2:16" ht="45.75" thickBot="1" x14ac:dyDescent="0.3">
      <c r="B137" s="6" t="s">
        <v>292</v>
      </c>
      <c r="C137" s="7" t="s">
        <v>293</v>
      </c>
      <c r="D137" s="7" t="s">
        <v>88</v>
      </c>
      <c r="E137" s="8">
        <v>28700</v>
      </c>
      <c r="F137" s="7" t="s">
        <v>16</v>
      </c>
      <c r="G137" s="7" t="s">
        <v>17</v>
      </c>
      <c r="H137" s="9">
        <v>42585</v>
      </c>
      <c r="I137" s="9">
        <v>42585</v>
      </c>
      <c r="J137" s="10">
        <v>0.28199999999999997</v>
      </c>
      <c r="K137" s="10">
        <v>0.24399999999999999</v>
      </c>
      <c r="L137" s="11">
        <v>45231</v>
      </c>
      <c r="M137" s="8">
        <v>61225</v>
      </c>
      <c r="N137" s="8">
        <v>45873</v>
      </c>
      <c r="O137" t="b">
        <v>0</v>
      </c>
      <c r="P137">
        <f t="shared" si="2"/>
        <v>0</v>
      </c>
    </row>
    <row r="138" spans="2:16" ht="45.75" thickBot="1" x14ac:dyDescent="0.3">
      <c r="B138" s="6" t="s">
        <v>294</v>
      </c>
      <c r="C138" s="7" t="s">
        <v>295</v>
      </c>
      <c r="D138" s="7" t="s">
        <v>15</v>
      </c>
      <c r="E138" s="8">
        <v>28600</v>
      </c>
      <c r="F138" s="7" t="s">
        <v>16</v>
      </c>
      <c r="G138" s="7" t="s">
        <v>17</v>
      </c>
      <c r="H138" s="9">
        <v>39052</v>
      </c>
      <c r="I138" s="9">
        <v>39052</v>
      </c>
      <c r="J138" s="10">
        <v>0.29399999999999998</v>
      </c>
      <c r="K138" s="10">
        <v>0.23300000000000001</v>
      </c>
      <c r="L138" s="11">
        <v>45200</v>
      </c>
      <c r="M138" s="8">
        <v>58372</v>
      </c>
      <c r="N138" s="8">
        <v>51319</v>
      </c>
      <c r="O138" t="b">
        <v>0</v>
      </c>
      <c r="P138">
        <f t="shared" si="2"/>
        <v>0</v>
      </c>
    </row>
    <row r="139" spans="2:16" ht="45.75" thickBot="1" x14ac:dyDescent="0.3">
      <c r="B139" s="6" t="s">
        <v>296</v>
      </c>
      <c r="C139" s="7" t="s">
        <v>297</v>
      </c>
      <c r="D139" s="7" t="s">
        <v>15</v>
      </c>
      <c r="E139" s="8">
        <v>28600</v>
      </c>
      <c r="F139" s="7" t="s">
        <v>16</v>
      </c>
      <c r="G139" s="7" t="s">
        <v>17</v>
      </c>
      <c r="H139" s="9">
        <v>40966</v>
      </c>
      <c r="I139" s="9">
        <v>40966</v>
      </c>
      <c r="J139" s="10">
        <v>0.23</v>
      </c>
      <c r="K139" s="10">
        <v>0.20300000000000001</v>
      </c>
      <c r="L139" s="11">
        <v>45200</v>
      </c>
      <c r="M139" s="8">
        <v>50773</v>
      </c>
      <c r="N139" s="8">
        <v>41194</v>
      </c>
      <c r="O139" t="b">
        <v>0</v>
      </c>
      <c r="P139">
        <f t="shared" si="2"/>
        <v>0</v>
      </c>
    </row>
    <row r="140" spans="2:16" ht="60.75" thickBot="1" x14ac:dyDescent="0.3">
      <c r="B140" s="6" t="s">
        <v>298</v>
      </c>
      <c r="C140" s="7" t="s">
        <v>299</v>
      </c>
      <c r="D140" s="7" t="s">
        <v>15</v>
      </c>
      <c r="E140" s="8">
        <v>28600</v>
      </c>
      <c r="F140" s="7" t="s">
        <v>16</v>
      </c>
      <c r="G140" s="7" t="s">
        <v>17</v>
      </c>
      <c r="H140" s="9">
        <v>38473</v>
      </c>
      <c r="I140" s="9">
        <v>38473</v>
      </c>
      <c r="J140" s="10">
        <v>0.23400000000000001</v>
      </c>
      <c r="K140" s="10">
        <v>0.21299999999999999</v>
      </c>
      <c r="L140" s="11">
        <v>45170</v>
      </c>
      <c r="M140" s="8">
        <v>53284</v>
      </c>
      <c r="N140" s="8">
        <v>53284</v>
      </c>
      <c r="O140" t="b">
        <v>0</v>
      </c>
      <c r="P140">
        <f t="shared" si="2"/>
        <v>0</v>
      </c>
    </row>
    <row r="141" spans="2:16" ht="60.75" thickBot="1" x14ac:dyDescent="0.3">
      <c r="B141" s="6" t="s">
        <v>300</v>
      </c>
      <c r="C141" s="7" t="s">
        <v>301</v>
      </c>
      <c r="D141" s="7" t="s">
        <v>77</v>
      </c>
      <c r="E141" s="8">
        <v>28500</v>
      </c>
      <c r="F141" s="7" t="s">
        <v>16</v>
      </c>
      <c r="G141" s="7" t="s">
        <v>17</v>
      </c>
      <c r="H141" s="9">
        <v>38443</v>
      </c>
      <c r="I141" s="9">
        <v>38322</v>
      </c>
      <c r="J141" s="10">
        <v>0.26500000000000001</v>
      </c>
      <c r="K141" s="10">
        <v>0.219</v>
      </c>
      <c r="L141" s="11">
        <v>45200</v>
      </c>
      <c r="M141" s="8">
        <v>54717</v>
      </c>
      <c r="N141" s="8">
        <v>50801</v>
      </c>
      <c r="O141" t="b">
        <v>0</v>
      </c>
      <c r="P141">
        <f t="shared" si="2"/>
        <v>0</v>
      </c>
    </row>
    <row r="142" spans="2:16" ht="45.75" thickBot="1" x14ac:dyDescent="0.3">
      <c r="B142" s="6" t="s">
        <v>302</v>
      </c>
      <c r="C142" s="7" t="s">
        <v>303</v>
      </c>
      <c r="D142" s="7" t="s">
        <v>15</v>
      </c>
      <c r="E142" s="8">
        <v>28500</v>
      </c>
      <c r="F142" s="7" t="s">
        <v>16</v>
      </c>
      <c r="G142" s="7" t="s">
        <v>17</v>
      </c>
      <c r="H142" s="9">
        <v>43190</v>
      </c>
      <c r="I142" s="9">
        <v>43190</v>
      </c>
      <c r="J142" s="10">
        <v>0.39100000000000001</v>
      </c>
      <c r="K142" s="10">
        <v>0.36699999999999999</v>
      </c>
      <c r="L142" s="11">
        <v>45200</v>
      </c>
      <c r="M142" s="8">
        <v>91548</v>
      </c>
      <c r="N142" s="8">
        <v>74776</v>
      </c>
      <c r="O142" t="b">
        <v>1</v>
      </c>
      <c r="P142">
        <f t="shared" si="2"/>
        <v>28500</v>
      </c>
    </row>
    <row r="143" spans="2:16" ht="60.75" thickBot="1" x14ac:dyDescent="0.3">
      <c r="B143" s="6" t="s">
        <v>304</v>
      </c>
      <c r="C143" s="7" t="s">
        <v>305</v>
      </c>
      <c r="D143" s="7" t="s">
        <v>88</v>
      </c>
      <c r="E143" s="8">
        <v>28125</v>
      </c>
      <c r="F143" s="7" t="s">
        <v>16</v>
      </c>
      <c r="G143" s="7" t="s">
        <v>17</v>
      </c>
      <c r="H143" s="9">
        <v>41537</v>
      </c>
      <c r="I143" s="9">
        <v>41537</v>
      </c>
      <c r="J143" s="10">
        <v>0.24</v>
      </c>
      <c r="K143" s="10">
        <v>0.20699999999999999</v>
      </c>
      <c r="L143" s="11">
        <v>45231</v>
      </c>
      <c r="M143" s="8">
        <v>51027</v>
      </c>
      <c r="N143" s="8">
        <v>40852</v>
      </c>
      <c r="P143">
        <f t="shared" si="2"/>
        <v>0</v>
      </c>
    </row>
    <row r="144" spans="2:16" ht="30.75" thickBot="1" x14ac:dyDescent="0.3">
      <c r="B144" s="6" t="s">
        <v>306</v>
      </c>
      <c r="C144" s="7" t="s">
        <v>307</v>
      </c>
      <c r="D144" s="7" t="s">
        <v>15</v>
      </c>
      <c r="E144" s="8">
        <v>28000</v>
      </c>
      <c r="F144" s="7" t="s">
        <v>16</v>
      </c>
      <c r="G144" s="7" t="s">
        <v>17</v>
      </c>
      <c r="H144" s="9">
        <v>40900</v>
      </c>
      <c r="I144" s="9">
        <v>40900</v>
      </c>
      <c r="J144" s="10">
        <v>0.38300000000000001</v>
      </c>
      <c r="K144" s="10">
        <v>0.35599999999999998</v>
      </c>
      <c r="L144" s="11">
        <v>45200</v>
      </c>
      <c r="M144" s="8">
        <v>87427</v>
      </c>
      <c r="N144" s="8">
        <v>76684</v>
      </c>
      <c r="P144">
        <f t="shared" si="2"/>
        <v>0</v>
      </c>
    </row>
    <row r="145" spans="2:16" ht="30.75" thickBot="1" x14ac:dyDescent="0.3">
      <c r="B145" s="6" t="s">
        <v>308</v>
      </c>
      <c r="C145" s="7" t="s">
        <v>309</v>
      </c>
      <c r="D145" s="7" t="s">
        <v>77</v>
      </c>
      <c r="E145" s="8">
        <v>27720</v>
      </c>
      <c r="F145" s="7" t="s">
        <v>16</v>
      </c>
      <c r="G145" s="7" t="s">
        <v>17</v>
      </c>
      <c r="H145" s="9">
        <v>42723</v>
      </c>
      <c r="I145" s="9">
        <v>42723</v>
      </c>
      <c r="J145" s="10">
        <v>0.21099999999999999</v>
      </c>
      <c r="K145" s="10">
        <v>0.184</v>
      </c>
      <c r="L145" s="11">
        <v>45200</v>
      </c>
      <c r="M145" s="8">
        <v>44697</v>
      </c>
      <c r="N145" s="8">
        <v>36914</v>
      </c>
      <c r="P145">
        <f t="shared" si="2"/>
        <v>0</v>
      </c>
    </row>
    <row r="146" spans="2:16" ht="30.75" thickBot="1" x14ac:dyDescent="0.3">
      <c r="B146" s="6" t="s">
        <v>310</v>
      </c>
      <c r="C146" s="7" t="s">
        <v>311</v>
      </c>
      <c r="D146" s="7" t="s">
        <v>15</v>
      </c>
      <c r="E146" s="8">
        <v>27600</v>
      </c>
      <c r="F146" s="7" t="s">
        <v>16</v>
      </c>
      <c r="G146" s="7" t="s">
        <v>17</v>
      </c>
      <c r="H146" s="9">
        <v>39326</v>
      </c>
      <c r="I146" s="9">
        <v>39326</v>
      </c>
      <c r="J146" s="10">
        <v>0.32700000000000001</v>
      </c>
      <c r="K146" s="10">
        <v>0.28000000000000003</v>
      </c>
      <c r="L146" s="11">
        <v>45231</v>
      </c>
      <c r="M146" s="8">
        <v>67731</v>
      </c>
      <c r="N146" s="8">
        <v>53674</v>
      </c>
      <c r="P146">
        <f t="shared" si="2"/>
        <v>0</v>
      </c>
    </row>
    <row r="147" spans="2:16" ht="45.75" thickBot="1" x14ac:dyDescent="0.3">
      <c r="B147" s="6" t="s">
        <v>312</v>
      </c>
      <c r="C147" s="7" t="s">
        <v>313</v>
      </c>
      <c r="D147" s="7" t="s">
        <v>15</v>
      </c>
      <c r="E147" s="8">
        <v>27600</v>
      </c>
      <c r="F147" s="7" t="s">
        <v>16</v>
      </c>
      <c r="G147" s="7" t="s">
        <v>17</v>
      </c>
      <c r="H147" s="9">
        <v>40221</v>
      </c>
      <c r="I147" s="9">
        <v>40221</v>
      </c>
      <c r="J147" s="10">
        <v>0.28100000000000003</v>
      </c>
      <c r="K147" s="10">
        <v>0.23499999999999999</v>
      </c>
      <c r="L147" s="11">
        <v>45139</v>
      </c>
      <c r="M147" s="8">
        <v>56743</v>
      </c>
      <c r="N147" s="8">
        <v>56743</v>
      </c>
      <c r="P147">
        <f t="shared" si="2"/>
        <v>0</v>
      </c>
    </row>
    <row r="148" spans="2:16" ht="30.75" thickBot="1" x14ac:dyDescent="0.3">
      <c r="B148" s="6" t="s">
        <v>314</v>
      </c>
      <c r="C148" s="7" t="s">
        <v>315</v>
      </c>
      <c r="D148" s="7" t="s">
        <v>15</v>
      </c>
      <c r="E148" s="8">
        <v>27600</v>
      </c>
      <c r="F148" s="7" t="s">
        <v>16</v>
      </c>
      <c r="G148" s="7" t="s">
        <v>17</v>
      </c>
      <c r="H148" s="9">
        <v>42803</v>
      </c>
      <c r="I148" s="9">
        <v>42803</v>
      </c>
      <c r="J148" s="10">
        <v>0.19500000000000001</v>
      </c>
      <c r="K148" s="10">
        <v>0.17799999999999999</v>
      </c>
      <c r="L148" s="11">
        <v>45200</v>
      </c>
      <c r="M148" s="8">
        <v>42952</v>
      </c>
      <c r="N148" s="8">
        <v>33270</v>
      </c>
      <c r="P148">
        <f t="shared" si="2"/>
        <v>0</v>
      </c>
    </row>
    <row r="149" spans="2:16" ht="30.75" thickBot="1" x14ac:dyDescent="0.3">
      <c r="B149" s="6" t="s">
        <v>316</v>
      </c>
      <c r="C149" s="7" t="s">
        <v>317</v>
      </c>
      <c r="D149" s="7" t="s">
        <v>15</v>
      </c>
      <c r="E149" s="8">
        <v>27500</v>
      </c>
      <c r="F149" s="7" t="s">
        <v>16</v>
      </c>
      <c r="G149" s="7" t="s">
        <v>17</v>
      </c>
      <c r="H149" s="9">
        <v>42549</v>
      </c>
      <c r="I149" s="9">
        <v>42549</v>
      </c>
      <c r="J149" s="10">
        <v>0.29299999999999998</v>
      </c>
      <c r="K149" s="10">
        <v>0.27300000000000002</v>
      </c>
      <c r="L149" s="11">
        <v>45200</v>
      </c>
      <c r="M149" s="8">
        <v>65825</v>
      </c>
      <c r="N149" s="8">
        <v>53323</v>
      </c>
      <c r="P149">
        <f t="shared" si="2"/>
        <v>0</v>
      </c>
    </row>
    <row r="150" spans="2:16" ht="45.75" thickBot="1" x14ac:dyDescent="0.3">
      <c r="B150" s="6" t="s">
        <v>318</v>
      </c>
      <c r="C150" s="7" t="s">
        <v>319</v>
      </c>
      <c r="D150" s="7" t="s">
        <v>15</v>
      </c>
      <c r="E150" s="8">
        <v>27000</v>
      </c>
      <c r="F150" s="7" t="s">
        <v>16</v>
      </c>
      <c r="G150" s="7" t="s">
        <v>17</v>
      </c>
      <c r="H150" s="9">
        <v>39620</v>
      </c>
      <c r="I150" s="9">
        <v>39620</v>
      </c>
      <c r="J150" s="10">
        <v>0.32</v>
      </c>
      <c r="K150" s="10">
        <v>0.219</v>
      </c>
      <c r="L150" s="11">
        <v>45200</v>
      </c>
      <c r="M150" s="8">
        <v>51712</v>
      </c>
      <c r="N150" s="8">
        <v>44557</v>
      </c>
      <c r="P150">
        <f t="shared" si="2"/>
        <v>0</v>
      </c>
    </row>
    <row r="151" spans="2:16" ht="30.75" thickBot="1" x14ac:dyDescent="0.3">
      <c r="B151" s="6" t="s">
        <v>320</v>
      </c>
      <c r="C151" s="7" t="s">
        <v>321</v>
      </c>
      <c r="D151" s="7" t="s">
        <v>88</v>
      </c>
      <c r="E151" s="8">
        <v>26910</v>
      </c>
      <c r="F151" s="7" t="s">
        <v>16</v>
      </c>
      <c r="G151" s="7" t="s">
        <v>17</v>
      </c>
      <c r="H151" s="9">
        <v>40927</v>
      </c>
      <c r="I151" s="9">
        <v>40927</v>
      </c>
      <c r="J151" s="10">
        <v>0.248</v>
      </c>
      <c r="K151" s="10">
        <v>0.216</v>
      </c>
      <c r="L151" s="11">
        <v>45200</v>
      </c>
      <c r="M151" s="8">
        <v>50798</v>
      </c>
      <c r="N151" s="8">
        <v>45976</v>
      </c>
      <c r="P151">
        <f t="shared" si="2"/>
        <v>0</v>
      </c>
    </row>
    <row r="152" spans="2:16" ht="30.75" thickBot="1" x14ac:dyDescent="0.3">
      <c r="B152" s="6" t="s">
        <v>322</v>
      </c>
      <c r="C152" s="7" t="s">
        <v>323</v>
      </c>
      <c r="D152" s="7" t="s">
        <v>15</v>
      </c>
      <c r="E152" s="8">
        <v>26780</v>
      </c>
      <c r="F152" s="7" t="s">
        <v>16</v>
      </c>
      <c r="G152" s="7" t="s">
        <v>17</v>
      </c>
      <c r="H152" s="9">
        <v>42760</v>
      </c>
      <c r="I152" s="9">
        <v>42760</v>
      </c>
      <c r="J152" s="10">
        <v>0.29199999999999998</v>
      </c>
      <c r="K152" s="10">
        <v>0.26</v>
      </c>
      <c r="L152" s="11">
        <v>45231</v>
      </c>
      <c r="M152" s="8">
        <v>61058</v>
      </c>
      <c r="N152" s="8">
        <v>44037</v>
      </c>
      <c r="P152">
        <f t="shared" si="2"/>
        <v>0</v>
      </c>
    </row>
    <row r="153" spans="2:16" ht="45.75" thickBot="1" x14ac:dyDescent="0.3">
      <c r="B153" s="6" t="s">
        <v>324</v>
      </c>
      <c r="C153" s="7" t="s">
        <v>325</v>
      </c>
      <c r="D153" s="7" t="s">
        <v>15</v>
      </c>
      <c r="E153" s="8">
        <v>26340</v>
      </c>
      <c r="F153" s="7" t="s">
        <v>16</v>
      </c>
      <c r="G153" s="7" t="s">
        <v>38</v>
      </c>
      <c r="H153" s="9">
        <v>43651</v>
      </c>
      <c r="I153" s="9">
        <v>43555</v>
      </c>
      <c r="J153" s="10">
        <v>0.252</v>
      </c>
      <c r="K153" s="10">
        <v>0.23899999999999999</v>
      </c>
      <c r="L153" s="11">
        <v>45231</v>
      </c>
      <c r="M153" s="8">
        <v>55261</v>
      </c>
      <c r="N153" s="12"/>
      <c r="P153">
        <f t="shared" si="2"/>
        <v>0</v>
      </c>
    </row>
    <row r="154" spans="2:16" ht="45.75" thickBot="1" x14ac:dyDescent="0.3">
      <c r="B154" s="6" t="s">
        <v>326</v>
      </c>
      <c r="C154" s="7" t="s">
        <v>327</v>
      </c>
      <c r="D154" s="7" t="s">
        <v>88</v>
      </c>
      <c r="E154" s="8">
        <v>26000</v>
      </c>
      <c r="F154" s="7" t="s">
        <v>16</v>
      </c>
      <c r="G154" s="7" t="s">
        <v>17</v>
      </c>
      <c r="H154" s="9">
        <v>42388</v>
      </c>
      <c r="I154" s="9">
        <v>42388</v>
      </c>
      <c r="J154" s="10">
        <v>0.246</v>
      </c>
      <c r="K154" s="10">
        <v>0.23100000000000001</v>
      </c>
      <c r="L154" s="11">
        <v>45200</v>
      </c>
      <c r="M154" s="8">
        <v>52657</v>
      </c>
      <c r="N154" s="8">
        <v>43886</v>
      </c>
      <c r="P154">
        <f t="shared" si="2"/>
        <v>0</v>
      </c>
    </row>
    <row r="155" spans="2:16" ht="30.75" thickBot="1" x14ac:dyDescent="0.3">
      <c r="B155" s="6" t="s">
        <v>328</v>
      </c>
      <c r="C155" s="7" t="s">
        <v>329</v>
      </c>
      <c r="D155" s="7" t="s">
        <v>25</v>
      </c>
      <c r="E155" s="8">
        <v>26000</v>
      </c>
      <c r="F155" s="7" t="s">
        <v>16</v>
      </c>
      <c r="G155" s="7" t="s">
        <v>17</v>
      </c>
      <c r="H155" s="9">
        <v>40611</v>
      </c>
      <c r="I155" s="9">
        <v>40611</v>
      </c>
      <c r="J155" s="10">
        <v>0.154</v>
      </c>
      <c r="K155" s="10">
        <v>0.111</v>
      </c>
      <c r="L155" s="11">
        <v>45231</v>
      </c>
      <c r="M155" s="8">
        <v>25302</v>
      </c>
      <c r="N155" s="8">
        <v>20772</v>
      </c>
      <c r="P155">
        <f t="shared" si="2"/>
        <v>0</v>
      </c>
    </row>
    <row r="156" spans="2:16" ht="60.75" thickBot="1" x14ac:dyDescent="0.3">
      <c r="B156" s="6" t="s">
        <v>330</v>
      </c>
      <c r="C156" s="7" t="s">
        <v>331</v>
      </c>
      <c r="D156" s="7" t="s">
        <v>15</v>
      </c>
      <c r="E156" s="8">
        <v>26000</v>
      </c>
      <c r="F156" s="7" t="s">
        <v>16</v>
      </c>
      <c r="G156" s="7" t="s">
        <v>17</v>
      </c>
      <c r="H156" s="9">
        <v>38443</v>
      </c>
      <c r="I156" s="9">
        <v>38443</v>
      </c>
      <c r="J156" s="10">
        <v>0.255</v>
      </c>
      <c r="K156" s="10">
        <v>0.183</v>
      </c>
      <c r="L156" s="11">
        <v>45231</v>
      </c>
      <c r="M156" s="8">
        <v>41776</v>
      </c>
      <c r="N156" s="8">
        <v>36064</v>
      </c>
      <c r="P156">
        <f t="shared" si="2"/>
        <v>0</v>
      </c>
    </row>
    <row r="157" spans="2:16" ht="30.75" thickBot="1" x14ac:dyDescent="0.3">
      <c r="B157" s="6" t="s">
        <v>332</v>
      </c>
      <c r="C157" s="7" t="s">
        <v>333</v>
      </c>
      <c r="D157" s="7" t="s">
        <v>15</v>
      </c>
      <c r="E157" s="8">
        <v>26000</v>
      </c>
      <c r="F157" s="7" t="s">
        <v>16</v>
      </c>
      <c r="G157" s="7" t="s">
        <v>17</v>
      </c>
      <c r="H157" s="9">
        <v>42328</v>
      </c>
      <c r="I157" s="9">
        <v>42328</v>
      </c>
      <c r="J157" s="10">
        <v>0.30199999999999999</v>
      </c>
      <c r="K157" s="10">
        <v>0.26500000000000001</v>
      </c>
      <c r="L157" s="11">
        <v>45200</v>
      </c>
      <c r="M157" s="8">
        <v>60404</v>
      </c>
      <c r="N157" s="8">
        <v>48067</v>
      </c>
      <c r="P157">
        <f t="shared" si="2"/>
        <v>0</v>
      </c>
    </row>
    <row r="158" spans="2:16" ht="30.75" thickBot="1" x14ac:dyDescent="0.3">
      <c r="B158" s="6" t="s">
        <v>334</v>
      </c>
      <c r="C158" s="7" t="s">
        <v>335</v>
      </c>
      <c r="D158" s="7" t="s">
        <v>88</v>
      </c>
      <c r="E158" s="8">
        <v>26000</v>
      </c>
      <c r="F158" s="7" t="s">
        <v>16</v>
      </c>
      <c r="G158" s="7" t="s">
        <v>17</v>
      </c>
      <c r="H158" s="9">
        <v>39657</v>
      </c>
      <c r="I158" s="9">
        <v>39657</v>
      </c>
      <c r="J158" s="10">
        <v>0.23100000000000001</v>
      </c>
      <c r="K158" s="10">
        <v>0.221</v>
      </c>
      <c r="L158" s="11">
        <v>45200</v>
      </c>
      <c r="M158" s="8">
        <v>50297</v>
      </c>
      <c r="N158" s="8">
        <v>46769</v>
      </c>
      <c r="P158">
        <f t="shared" si="2"/>
        <v>0</v>
      </c>
    </row>
    <row r="159" spans="2:16" ht="30.75" thickBot="1" x14ac:dyDescent="0.3">
      <c r="B159" s="6" t="s">
        <v>336</v>
      </c>
      <c r="C159" s="7" t="s">
        <v>337</v>
      </c>
      <c r="D159" s="7" t="s">
        <v>15</v>
      </c>
      <c r="E159" s="8">
        <v>26000</v>
      </c>
      <c r="F159" s="7" t="s">
        <v>16</v>
      </c>
      <c r="G159" s="7" t="s">
        <v>17</v>
      </c>
      <c r="H159" s="9">
        <v>42244</v>
      </c>
      <c r="I159" s="9">
        <v>42244</v>
      </c>
      <c r="J159" s="10">
        <v>0.35599999999999998</v>
      </c>
      <c r="K159" s="10">
        <v>0.29599999999999999</v>
      </c>
      <c r="L159" s="11">
        <v>45231</v>
      </c>
      <c r="M159" s="8">
        <v>67458</v>
      </c>
      <c r="N159" s="8">
        <v>45233</v>
      </c>
      <c r="P159">
        <f t="shared" si="2"/>
        <v>0</v>
      </c>
    </row>
    <row r="160" spans="2:16" ht="45.75" thickBot="1" x14ac:dyDescent="0.3">
      <c r="B160" s="6" t="s">
        <v>338</v>
      </c>
      <c r="C160" s="7" t="s">
        <v>339</v>
      </c>
      <c r="D160" s="7" t="s">
        <v>15</v>
      </c>
      <c r="E160" s="8">
        <v>26000</v>
      </c>
      <c r="F160" s="7" t="s">
        <v>16</v>
      </c>
      <c r="G160" s="7" t="s">
        <v>17</v>
      </c>
      <c r="H160" s="9">
        <v>39718</v>
      </c>
      <c r="I160" s="9">
        <v>39718</v>
      </c>
      <c r="J160" s="10">
        <v>0.27</v>
      </c>
      <c r="K160" s="10">
        <v>0.22600000000000001</v>
      </c>
      <c r="L160" s="11">
        <v>45200</v>
      </c>
      <c r="M160" s="8">
        <v>51468</v>
      </c>
      <c r="N160" s="8">
        <v>46413</v>
      </c>
      <c r="P160">
        <f t="shared" si="2"/>
        <v>0</v>
      </c>
    </row>
    <row r="161" spans="2:16" ht="45.75" thickBot="1" x14ac:dyDescent="0.3">
      <c r="B161" s="6" t="s">
        <v>340</v>
      </c>
      <c r="C161" s="7" t="s">
        <v>341</v>
      </c>
      <c r="D161" s="7" t="s">
        <v>77</v>
      </c>
      <c r="E161" s="8">
        <v>26000</v>
      </c>
      <c r="F161" s="7" t="s">
        <v>16</v>
      </c>
      <c r="G161" s="7" t="s">
        <v>17</v>
      </c>
      <c r="H161" s="9">
        <v>38443</v>
      </c>
      <c r="I161" s="9">
        <v>37712</v>
      </c>
      <c r="J161" s="10">
        <v>0.26800000000000002</v>
      </c>
      <c r="K161" s="10">
        <v>0.21</v>
      </c>
      <c r="L161" s="11">
        <v>45200</v>
      </c>
      <c r="M161" s="8">
        <v>47787</v>
      </c>
      <c r="N161" s="8">
        <v>43190</v>
      </c>
      <c r="P161">
        <f t="shared" si="2"/>
        <v>0</v>
      </c>
    </row>
    <row r="162" spans="2:16" ht="30.75" thickBot="1" x14ac:dyDescent="0.3">
      <c r="B162" s="6" t="s">
        <v>342</v>
      </c>
      <c r="C162" s="7" t="s">
        <v>343</v>
      </c>
      <c r="D162" s="7" t="s">
        <v>88</v>
      </c>
      <c r="E162" s="8">
        <v>26000</v>
      </c>
      <c r="F162" s="7" t="s">
        <v>16</v>
      </c>
      <c r="G162" s="7" t="s">
        <v>17</v>
      </c>
      <c r="H162" s="9">
        <v>41101</v>
      </c>
      <c r="I162" s="9">
        <v>41101</v>
      </c>
      <c r="J162" s="10">
        <v>0.33</v>
      </c>
      <c r="K162" s="10">
        <v>0.313</v>
      </c>
      <c r="L162" s="11">
        <v>45200</v>
      </c>
      <c r="M162" s="8">
        <v>71313</v>
      </c>
      <c r="N162" s="8">
        <v>61140</v>
      </c>
      <c r="P162">
        <f t="shared" si="2"/>
        <v>0</v>
      </c>
    </row>
    <row r="163" spans="2:16" ht="45.75" thickBot="1" x14ac:dyDescent="0.3">
      <c r="B163" s="6" t="s">
        <v>344</v>
      </c>
      <c r="C163" s="7" t="s">
        <v>345</v>
      </c>
      <c r="D163" s="7" t="s">
        <v>15</v>
      </c>
      <c r="E163" s="8">
        <v>25000</v>
      </c>
      <c r="F163" s="7" t="s">
        <v>16</v>
      </c>
      <c r="G163" s="7" t="s">
        <v>17</v>
      </c>
      <c r="H163" s="9">
        <v>42614</v>
      </c>
      <c r="I163" s="9">
        <v>42614</v>
      </c>
      <c r="J163" s="10">
        <v>0.32500000000000001</v>
      </c>
      <c r="K163" s="10">
        <v>0.29099999999999998</v>
      </c>
      <c r="L163" s="11">
        <v>45200</v>
      </c>
      <c r="M163" s="8">
        <v>63680</v>
      </c>
      <c r="N163" s="8">
        <v>47071</v>
      </c>
      <c r="P163">
        <f t="shared" si="2"/>
        <v>0</v>
      </c>
    </row>
    <row r="164" spans="2:16" ht="30.75" thickBot="1" x14ac:dyDescent="0.3">
      <c r="B164" s="6" t="s">
        <v>346</v>
      </c>
      <c r="C164" s="7" t="s">
        <v>347</v>
      </c>
      <c r="D164" s="7" t="s">
        <v>15</v>
      </c>
      <c r="E164" s="8">
        <v>25000</v>
      </c>
      <c r="F164" s="7" t="s">
        <v>16</v>
      </c>
      <c r="G164" s="7" t="s">
        <v>17</v>
      </c>
      <c r="H164" s="9">
        <v>42818</v>
      </c>
      <c r="I164" s="9">
        <v>42818</v>
      </c>
      <c r="J164" s="10">
        <v>0.27400000000000002</v>
      </c>
      <c r="K164" s="10">
        <v>0.24399999999999999</v>
      </c>
      <c r="L164" s="11">
        <v>45200</v>
      </c>
      <c r="M164" s="8">
        <v>53405</v>
      </c>
      <c r="N164" s="8">
        <v>43040</v>
      </c>
      <c r="P164">
        <f t="shared" si="2"/>
        <v>0</v>
      </c>
    </row>
    <row r="165" spans="2:16" ht="45.75" thickBot="1" x14ac:dyDescent="0.3">
      <c r="B165" s="6" t="s">
        <v>348</v>
      </c>
      <c r="C165" s="7" t="s">
        <v>349</v>
      </c>
      <c r="D165" s="7" t="s">
        <v>77</v>
      </c>
      <c r="E165" s="8">
        <v>25000</v>
      </c>
      <c r="F165" s="7" t="s">
        <v>16</v>
      </c>
      <c r="G165" s="7" t="s">
        <v>17</v>
      </c>
      <c r="H165" s="9">
        <v>43336</v>
      </c>
      <c r="I165" s="9">
        <v>43336</v>
      </c>
      <c r="J165" s="10">
        <v>0.25700000000000001</v>
      </c>
      <c r="K165" s="10">
        <v>0.23499999999999999</v>
      </c>
      <c r="L165" s="11">
        <v>45200</v>
      </c>
      <c r="M165" s="8">
        <v>51382</v>
      </c>
      <c r="N165" s="8">
        <v>42583</v>
      </c>
      <c r="P165">
        <f t="shared" si="2"/>
        <v>0</v>
      </c>
    </row>
    <row r="166" spans="2:16" ht="30.75" thickBot="1" x14ac:dyDescent="0.3">
      <c r="B166" s="6" t="s">
        <v>350</v>
      </c>
      <c r="C166" s="7" t="s">
        <v>351</v>
      </c>
      <c r="D166" s="7" t="s">
        <v>77</v>
      </c>
      <c r="E166" s="8">
        <v>25000</v>
      </c>
      <c r="F166" s="7" t="s">
        <v>16</v>
      </c>
      <c r="G166" s="7" t="s">
        <v>17</v>
      </c>
      <c r="H166" s="9">
        <v>39840</v>
      </c>
      <c r="I166" s="9">
        <v>39840</v>
      </c>
      <c r="J166" s="10">
        <v>0.246</v>
      </c>
      <c r="K166" s="10">
        <v>0.185</v>
      </c>
      <c r="L166" s="11">
        <v>45231</v>
      </c>
      <c r="M166" s="8">
        <v>40605</v>
      </c>
      <c r="N166" s="8">
        <v>33602</v>
      </c>
      <c r="P166">
        <f t="shared" si="2"/>
        <v>0</v>
      </c>
    </row>
    <row r="167" spans="2:16" ht="30.75" thickBot="1" x14ac:dyDescent="0.3">
      <c r="B167" s="6" t="s">
        <v>352</v>
      </c>
      <c r="C167" s="7" t="s">
        <v>353</v>
      </c>
      <c r="D167" s="7" t="s">
        <v>15</v>
      </c>
      <c r="E167" s="8">
        <v>25000</v>
      </c>
      <c r="F167" s="7" t="s">
        <v>16</v>
      </c>
      <c r="G167" s="7" t="s">
        <v>17</v>
      </c>
      <c r="H167" s="9">
        <v>41726</v>
      </c>
      <c r="I167" s="9">
        <v>41726</v>
      </c>
      <c r="J167" s="10">
        <v>0.23100000000000001</v>
      </c>
      <c r="K167" s="10">
        <v>0.187</v>
      </c>
      <c r="L167" s="11">
        <v>45200</v>
      </c>
      <c r="M167" s="8">
        <v>40963</v>
      </c>
      <c r="N167" s="8">
        <v>34314</v>
      </c>
      <c r="P167">
        <f t="shared" si="2"/>
        <v>0</v>
      </c>
    </row>
    <row r="168" spans="2:16" ht="60.75" thickBot="1" x14ac:dyDescent="0.3">
      <c r="B168" s="6" t="s">
        <v>354</v>
      </c>
      <c r="C168" s="7" t="s">
        <v>355</v>
      </c>
      <c r="D168" s="7" t="s">
        <v>15</v>
      </c>
      <c r="E168" s="8">
        <v>24750</v>
      </c>
      <c r="F168" s="7" t="s">
        <v>16</v>
      </c>
      <c r="G168" s="7" t="s">
        <v>17</v>
      </c>
      <c r="H168" s="9">
        <v>41171</v>
      </c>
      <c r="I168" s="9">
        <v>41171</v>
      </c>
      <c r="J168" s="10">
        <v>0.253</v>
      </c>
      <c r="K168" s="10">
        <v>0.188</v>
      </c>
      <c r="L168" s="11">
        <v>45200</v>
      </c>
      <c r="M168" s="8">
        <v>40755</v>
      </c>
      <c r="N168" s="8">
        <v>33070</v>
      </c>
      <c r="P168">
        <f t="shared" si="2"/>
        <v>0</v>
      </c>
    </row>
    <row r="169" spans="2:16" ht="30.75" thickBot="1" x14ac:dyDescent="0.3">
      <c r="B169" s="6" t="s">
        <v>356</v>
      </c>
      <c r="C169" s="7" t="s">
        <v>357</v>
      </c>
      <c r="D169" s="7" t="s">
        <v>15</v>
      </c>
      <c r="E169" s="8">
        <v>24700</v>
      </c>
      <c r="F169" s="7" t="s">
        <v>16</v>
      </c>
      <c r="G169" s="7" t="s">
        <v>17</v>
      </c>
      <c r="H169" s="9">
        <v>41152</v>
      </c>
      <c r="I169" s="9">
        <v>41152</v>
      </c>
      <c r="J169" s="10">
        <v>0.215</v>
      </c>
      <c r="K169" s="10">
        <v>0.20200000000000001</v>
      </c>
      <c r="L169" s="11">
        <v>45108</v>
      </c>
      <c r="M169" s="8">
        <v>43790</v>
      </c>
      <c r="N169" s="8">
        <v>41167</v>
      </c>
      <c r="P169">
        <f t="shared" si="2"/>
        <v>0</v>
      </c>
    </row>
    <row r="170" spans="2:16" ht="30.75" thickBot="1" x14ac:dyDescent="0.3">
      <c r="B170" s="6" t="s">
        <v>358</v>
      </c>
      <c r="C170" s="7" t="s">
        <v>359</v>
      </c>
      <c r="D170" s="7" t="s">
        <v>25</v>
      </c>
      <c r="E170" s="8">
        <v>24600</v>
      </c>
      <c r="F170" s="7" t="s">
        <v>16</v>
      </c>
      <c r="G170" s="7" t="s">
        <v>17</v>
      </c>
      <c r="H170" s="9">
        <v>42690</v>
      </c>
      <c r="I170" s="9">
        <v>42690</v>
      </c>
      <c r="J170" s="10">
        <v>0.373</v>
      </c>
      <c r="K170" s="10">
        <v>0.36099999999999999</v>
      </c>
      <c r="L170" s="11">
        <v>45231</v>
      </c>
      <c r="M170" s="8">
        <v>77816</v>
      </c>
      <c r="N170" s="8">
        <v>57150</v>
      </c>
      <c r="P170">
        <f t="shared" si="2"/>
        <v>0</v>
      </c>
    </row>
    <row r="171" spans="2:16" ht="30.75" thickBot="1" x14ac:dyDescent="0.3">
      <c r="B171" s="6" t="s">
        <v>360</v>
      </c>
      <c r="C171" s="7" t="s">
        <v>361</v>
      </c>
      <c r="D171" s="7" t="s">
        <v>88</v>
      </c>
      <c r="E171" s="8">
        <v>24600</v>
      </c>
      <c r="F171" s="7" t="s">
        <v>16</v>
      </c>
      <c r="G171" s="7" t="s">
        <v>17</v>
      </c>
      <c r="H171" s="9">
        <v>40385</v>
      </c>
      <c r="I171" s="9">
        <v>40385</v>
      </c>
      <c r="J171" s="10">
        <v>0.20200000000000001</v>
      </c>
      <c r="K171" s="10">
        <v>0.17799999999999999</v>
      </c>
      <c r="L171" s="11">
        <v>45200</v>
      </c>
      <c r="M171" s="8">
        <v>38448</v>
      </c>
      <c r="N171" s="8">
        <v>35870</v>
      </c>
      <c r="P171">
        <f t="shared" si="2"/>
        <v>0</v>
      </c>
    </row>
    <row r="172" spans="2:16" ht="30.75" thickBot="1" x14ac:dyDescent="0.3">
      <c r="B172" s="6" t="s">
        <v>362</v>
      </c>
      <c r="C172" s="7" t="s">
        <v>363</v>
      </c>
      <c r="D172" s="7" t="s">
        <v>88</v>
      </c>
      <c r="E172" s="8">
        <v>24600</v>
      </c>
      <c r="F172" s="7" t="s">
        <v>16</v>
      </c>
      <c r="G172" s="7" t="s">
        <v>17</v>
      </c>
      <c r="H172" s="9">
        <v>41316</v>
      </c>
      <c r="I172" s="9">
        <v>41316</v>
      </c>
      <c r="J172" s="10">
        <v>0.21099999999999999</v>
      </c>
      <c r="K172" s="10">
        <v>0.191</v>
      </c>
      <c r="L172" s="11">
        <v>45231</v>
      </c>
      <c r="M172" s="8">
        <v>41123</v>
      </c>
      <c r="N172" s="8">
        <v>31159</v>
      </c>
      <c r="P172">
        <f t="shared" si="2"/>
        <v>0</v>
      </c>
    </row>
    <row r="173" spans="2:16" ht="30.75" thickBot="1" x14ac:dyDescent="0.3">
      <c r="B173" s="6" t="s">
        <v>364</v>
      </c>
      <c r="C173" s="7" t="s">
        <v>365</v>
      </c>
      <c r="D173" s="7" t="s">
        <v>88</v>
      </c>
      <c r="E173" s="8">
        <v>24600</v>
      </c>
      <c r="F173" s="7" t="s">
        <v>16</v>
      </c>
      <c r="G173" s="7" t="s">
        <v>17</v>
      </c>
      <c r="H173" s="9">
        <v>41201</v>
      </c>
      <c r="I173" s="9">
        <v>41201</v>
      </c>
      <c r="J173" s="10">
        <v>0.36099999999999999</v>
      </c>
      <c r="K173" s="10">
        <v>0.312</v>
      </c>
      <c r="L173" s="11">
        <v>45200</v>
      </c>
      <c r="M173" s="8">
        <v>67207</v>
      </c>
      <c r="N173" s="8">
        <v>56977</v>
      </c>
      <c r="P173">
        <f t="shared" si="2"/>
        <v>0</v>
      </c>
    </row>
    <row r="174" spans="2:16" ht="75.75" thickBot="1" x14ac:dyDescent="0.3">
      <c r="B174" s="6" t="s">
        <v>366</v>
      </c>
      <c r="C174" s="7" t="s">
        <v>367</v>
      </c>
      <c r="D174" s="7" t="s">
        <v>25</v>
      </c>
      <c r="E174" s="8">
        <v>24151</v>
      </c>
      <c r="F174" s="7" t="s">
        <v>16</v>
      </c>
      <c r="G174" s="7" t="s">
        <v>17</v>
      </c>
      <c r="H174" s="9">
        <v>42808</v>
      </c>
      <c r="I174" s="9">
        <v>42808</v>
      </c>
      <c r="J174" s="10">
        <v>0.33400000000000002</v>
      </c>
      <c r="K174" s="10">
        <v>0.315</v>
      </c>
      <c r="L174" s="11">
        <v>45231</v>
      </c>
      <c r="M174" s="8">
        <v>66720</v>
      </c>
      <c r="N174" s="8">
        <v>47005</v>
      </c>
      <c r="P174">
        <f t="shared" si="2"/>
        <v>0</v>
      </c>
    </row>
    <row r="175" spans="2:16" ht="30.75" thickBot="1" x14ac:dyDescent="0.3">
      <c r="B175" s="6" t="s">
        <v>368</v>
      </c>
      <c r="C175" s="7" t="s">
        <v>369</v>
      </c>
      <c r="D175" s="7" t="s">
        <v>15</v>
      </c>
      <c r="E175" s="8">
        <v>24000</v>
      </c>
      <c r="F175" s="7" t="s">
        <v>16</v>
      </c>
      <c r="G175" s="7" t="s">
        <v>22</v>
      </c>
      <c r="H175" s="9">
        <v>44183</v>
      </c>
      <c r="I175" s="9">
        <v>44183</v>
      </c>
      <c r="J175" s="10">
        <v>0.26800000000000002</v>
      </c>
      <c r="K175" s="10">
        <v>0.247</v>
      </c>
      <c r="L175" s="11">
        <v>45200</v>
      </c>
      <c r="M175" s="8">
        <v>51986</v>
      </c>
      <c r="N175" s="12"/>
      <c r="P175">
        <f t="shared" si="2"/>
        <v>0</v>
      </c>
    </row>
    <row r="176" spans="2:16" ht="30.75" thickBot="1" x14ac:dyDescent="0.3">
      <c r="B176" s="6" t="s">
        <v>370</v>
      </c>
      <c r="C176" s="7" t="s">
        <v>371</v>
      </c>
      <c r="D176" s="7" t="s">
        <v>25</v>
      </c>
      <c r="E176" s="8">
        <v>24000</v>
      </c>
      <c r="F176" s="7" t="s">
        <v>16</v>
      </c>
      <c r="G176" s="7" t="s">
        <v>17</v>
      </c>
      <c r="H176" s="9">
        <v>41359</v>
      </c>
      <c r="I176" s="9">
        <v>41359</v>
      </c>
      <c r="J176" s="10">
        <v>0.26900000000000002</v>
      </c>
      <c r="K176" s="10">
        <v>0.24299999999999999</v>
      </c>
      <c r="L176" s="11">
        <v>45200</v>
      </c>
      <c r="M176" s="8">
        <v>51035</v>
      </c>
      <c r="N176" s="8">
        <v>43094</v>
      </c>
      <c r="P176">
        <f t="shared" si="2"/>
        <v>0</v>
      </c>
    </row>
    <row r="177" spans="2:16" ht="30.75" thickBot="1" x14ac:dyDescent="0.3">
      <c r="B177" s="6" t="s">
        <v>372</v>
      </c>
      <c r="C177" s="7" t="s">
        <v>373</v>
      </c>
      <c r="D177" s="7" t="s">
        <v>15</v>
      </c>
      <c r="E177" s="8">
        <v>24000</v>
      </c>
      <c r="F177" s="7" t="s">
        <v>16</v>
      </c>
      <c r="G177" s="7" t="s">
        <v>17</v>
      </c>
      <c r="H177" s="9">
        <v>40989</v>
      </c>
      <c r="I177" s="9">
        <v>40989</v>
      </c>
      <c r="J177" s="10">
        <v>0.372</v>
      </c>
      <c r="K177" s="10">
        <v>0.29899999999999999</v>
      </c>
      <c r="L177" s="11">
        <v>45231</v>
      </c>
      <c r="M177" s="8">
        <v>62930</v>
      </c>
      <c r="N177" s="8">
        <v>48321</v>
      </c>
      <c r="P177">
        <f t="shared" si="2"/>
        <v>0</v>
      </c>
    </row>
    <row r="178" spans="2:16" ht="60.75" thickBot="1" x14ac:dyDescent="0.3">
      <c r="B178" s="6" t="s">
        <v>374</v>
      </c>
      <c r="C178" s="7" t="s">
        <v>375</v>
      </c>
      <c r="D178" s="7" t="s">
        <v>88</v>
      </c>
      <c r="E178" s="8">
        <v>24000</v>
      </c>
      <c r="F178" s="7" t="s">
        <v>16</v>
      </c>
      <c r="G178" s="7" t="s">
        <v>17</v>
      </c>
      <c r="H178" s="9">
        <v>39888</v>
      </c>
      <c r="I178" s="9">
        <v>39888</v>
      </c>
      <c r="J178" s="10">
        <v>0.27600000000000002</v>
      </c>
      <c r="K178" s="10">
        <v>0.245</v>
      </c>
      <c r="L178" s="11">
        <v>45231</v>
      </c>
      <c r="M178" s="8">
        <v>51479</v>
      </c>
      <c r="N178" s="8">
        <v>42818</v>
      </c>
      <c r="P178">
        <f t="shared" si="2"/>
        <v>0</v>
      </c>
    </row>
    <row r="179" spans="2:16" ht="45.75" thickBot="1" x14ac:dyDescent="0.3">
      <c r="B179" s="6" t="s">
        <v>376</v>
      </c>
      <c r="C179" s="7" t="s">
        <v>377</v>
      </c>
      <c r="D179" s="7" t="s">
        <v>77</v>
      </c>
      <c r="E179" s="8">
        <v>23500</v>
      </c>
      <c r="F179" s="7" t="s">
        <v>16</v>
      </c>
      <c r="G179" s="7" t="s">
        <v>17</v>
      </c>
      <c r="H179" s="9">
        <v>44630</v>
      </c>
      <c r="I179" s="9">
        <v>44526</v>
      </c>
      <c r="J179" s="10">
        <v>0.31900000000000001</v>
      </c>
      <c r="K179" s="10">
        <v>0.28999999999999998</v>
      </c>
      <c r="L179" s="11">
        <v>45231</v>
      </c>
      <c r="M179" s="8">
        <v>59676</v>
      </c>
      <c r="N179" s="12"/>
      <c r="P179">
        <f t="shared" si="2"/>
        <v>0</v>
      </c>
    </row>
    <row r="180" spans="2:16" ht="30.75" thickBot="1" x14ac:dyDescent="0.3">
      <c r="B180" s="6" t="s">
        <v>378</v>
      </c>
      <c r="C180" s="7" t="s">
        <v>379</v>
      </c>
      <c r="D180" s="7" t="s">
        <v>15</v>
      </c>
      <c r="E180" s="8">
        <v>23100</v>
      </c>
      <c r="F180" s="7" t="s">
        <v>16</v>
      </c>
      <c r="G180" s="7" t="s">
        <v>17</v>
      </c>
      <c r="H180" s="9">
        <v>42332</v>
      </c>
      <c r="I180" s="9">
        <v>42332</v>
      </c>
      <c r="J180" s="10">
        <v>0.28699999999999998</v>
      </c>
      <c r="K180" s="10">
        <v>0.19</v>
      </c>
      <c r="L180" s="11">
        <v>45200</v>
      </c>
      <c r="M180" s="8">
        <v>38502</v>
      </c>
      <c r="N180" s="8">
        <v>27294</v>
      </c>
      <c r="P180">
        <f t="shared" si="2"/>
        <v>0</v>
      </c>
    </row>
    <row r="181" spans="2:16" ht="30.75" thickBot="1" x14ac:dyDescent="0.3">
      <c r="B181" s="6" t="s">
        <v>380</v>
      </c>
      <c r="C181" s="7" t="s">
        <v>381</v>
      </c>
      <c r="D181" s="7" t="s">
        <v>25</v>
      </c>
      <c r="E181" s="8">
        <v>23000</v>
      </c>
      <c r="F181" s="7" t="s">
        <v>16</v>
      </c>
      <c r="G181" s="7" t="s">
        <v>17</v>
      </c>
      <c r="H181" s="9">
        <v>40077</v>
      </c>
      <c r="I181" s="9">
        <v>40077</v>
      </c>
      <c r="J181" s="10">
        <v>0.26900000000000002</v>
      </c>
      <c r="K181" s="10">
        <v>0.22900000000000001</v>
      </c>
      <c r="L181" s="11">
        <v>45231</v>
      </c>
      <c r="M181" s="8">
        <v>46166</v>
      </c>
      <c r="N181" s="8">
        <v>36789</v>
      </c>
      <c r="P181">
        <f t="shared" si="2"/>
        <v>0</v>
      </c>
    </row>
    <row r="182" spans="2:16" ht="45.75" thickBot="1" x14ac:dyDescent="0.3">
      <c r="B182" s="6" t="s">
        <v>382</v>
      </c>
      <c r="C182" s="7" t="s">
        <v>383</v>
      </c>
      <c r="D182" s="7" t="s">
        <v>77</v>
      </c>
      <c r="E182" s="8">
        <v>23000</v>
      </c>
      <c r="F182" s="7" t="s">
        <v>16</v>
      </c>
      <c r="G182" s="7" t="s">
        <v>17</v>
      </c>
      <c r="H182" s="9">
        <v>43149</v>
      </c>
      <c r="I182" s="9">
        <v>43149</v>
      </c>
      <c r="J182" s="10">
        <v>0.222</v>
      </c>
      <c r="K182" s="10">
        <v>0.20399999999999999</v>
      </c>
      <c r="L182" s="11">
        <v>45200</v>
      </c>
      <c r="M182" s="8">
        <v>41103</v>
      </c>
      <c r="N182" s="8">
        <v>33360</v>
      </c>
      <c r="P182">
        <f t="shared" si="2"/>
        <v>0</v>
      </c>
    </row>
    <row r="183" spans="2:16" ht="30.75" thickBot="1" x14ac:dyDescent="0.3">
      <c r="B183" s="6" t="s">
        <v>384</v>
      </c>
      <c r="C183" s="7" t="s">
        <v>385</v>
      </c>
      <c r="D183" s="7" t="s">
        <v>15</v>
      </c>
      <c r="E183" s="8">
        <v>22550</v>
      </c>
      <c r="F183" s="7" t="s">
        <v>16</v>
      </c>
      <c r="G183" s="7" t="s">
        <v>17</v>
      </c>
      <c r="H183" s="9">
        <v>42774</v>
      </c>
      <c r="I183" s="9">
        <v>42774</v>
      </c>
      <c r="J183" s="10">
        <v>0.33700000000000002</v>
      </c>
      <c r="K183" s="10">
        <v>0.32600000000000001</v>
      </c>
      <c r="L183" s="11">
        <v>45200</v>
      </c>
      <c r="M183" s="8">
        <v>64352</v>
      </c>
      <c r="N183" s="8">
        <v>51402</v>
      </c>
      <c r="P183">
        <f t="shared" si="2"/>
        <v>0</v>
      </c>
    </row>
    <row r="184" spans="2:16" ht="30.75" thickBot="1" x14ac:dyDescent="0.3">
      <c r="B184" s="6" t="s">
        <v>386</v>
      </c>
      <c r="C184" s="7" t="s">
        <v>387</v>
      </c>
      <c r="D184" s="7" t="s">
        <v>15</v>
      </c>
      <c r="E184" s="8">
        <v>22500</v>
      </c>
      <c r="F184" s="7" t="s">
        <v>16</v>
      </c>
      <c r="G184" s="7" t="s">
        <v>17</v>
      </c>
      <c r="H184" s="9">
        <v>42444</v>
      </c>
      <c r="I184" s="9">
        <v>42444</v>
      </c>
      <c r="J184" s="10">
        <v>0.38200000000000001</v>
      </c>
      <c r="K184" s="10">
        <v>0.34699999999999998</v>
      </c>
      <c r="L184" s="11">
        <v>45200</v>
      </c>
      <c r="M184" s="8">
        <v>68334</v>
      </c>
      <c r="N184" s="8">
        <v>47964</v>
      </c>
      <c r="P184">
        <f t="shared" si="2"/>
        <v>0</v>
      </c>
    </row>
    <row r="185" spans="2:16" ht="45.75" thickBot="1" x14ac:dyDescent="0.3">
      <c r="B185" s="6" t="s">
        <v>388</v>
      </c>
      <c r="C185" s="7" t="s">
        <v>389</v>
      </c>
      <c r="D185" s="7" t="s">
        <v>25</v>
      </c>
      <c r="E185" s="8">
        <v>22500</v>
      </c>
      <c r="F185" s="7" t="s">
        <v>16</v>
      </c>
      <c r="G185" s="7" t="s">
        <v>17</v>
      </c>
      <c r="H185" s="9">
        <v>42132</v>
      </c>
      <c r="I185" s="9">
        <v>42132</v>
      </c>
      <c r="J185" s="10">
        <v>0.23599999999999999</v>
      </c>
      <c r="K185" s="10">
        <v>0.22800000000000001</v>
      </c>
      <c r="L185" s="11">
        <v>45200</v>
      </c>
      <c r="M185" s="8">
        <v>44866</v>
      </c>
      <c r="N185" s="8">
        <v>34508</v>
      </c>
      <c r="P185">
        <f t="shared" si="2"/>
        <v>0</v>
      </c>
    </row>
    <row r="186" spans="2:16" ht="45.75" thickBot="1" x14ac:dyDescent="0.3">
      <c r="B186" s="6" t="s">
        <v>390</v>
      </c>
      <c r="C186" s="7" t="s">
        <v>391</v>
      </c>
      <c r="D186" s="7" t="s">
        <v>15</v>
      </c>
      <c r="E186" s="8">
        <v>22500</v>
      </c>
      <c r="F186" s="7" t="s">
        <v>16</v>
      </c>
      <c r="G186" s="7" t="s">
        <v>17</v>
      </c>
      <c r="H186" s="9">
        <v>42157</v>
      </c>
      <c r="I186" s="9">
        <v>42157</v>
      </c>
      <c r="J186" s="10">
        <v>0.317</v>
      </c>
      <c r="K186" s="10">
        <v>0.30399999999999999</v>
      </c>
      <c r="L186" s="11">
        <v>45200</v>
      </c>
      <c r="M186" s="8">
        <v>59858</v>
      </c>
      <c r="N186" s="8">
        <v>48872</v>
      </c>
      <c r="P186">
        <f t="shared" si="2"/>
        <v>0</v>
      </c>
    </row>
    <row r="187" spans="2:16" ht="30.75" thickBot="1" x14ac:dyDescent="0.3">
      <c r="B187" s="6" t="s">
        <v>392</v>
      </c>
      <c r="C187" s="7" t="s">
        <v>393</v>
      </c>
      <c r="D187" s="7" t="s">
        <v>15</v>
      </c>
      <c r="E187" s="8">
        <v>22440</v>
      </c>
      <c r="F187" s="7" t="s">
        <v>16</v>
      </c>
      <c r="G187" s="7" t="s">
        <v>17</v>
      </c>
      <c r="H187" s="9">
        <v>42741</v>
      </c>
      <c r="I187" s="9">
        <v>42741</v>
      </c>
      <c r="J187" s="10">
        <v>0.252</v>
      </c>
      <c r="K187" s="10">
        <v>0.182</v>
      </c>
      <c r="L187" s="11">
        <v>45200</v>
      </c>
      <c r="M187" s="8">
        <v>35733</v>
      </c>
      <c r="N187" s="8">
        <v>26950</v>
      </c>
      <c r="P187">
        <f t="shared" si="2"/>
        <v>0</v>
      </c>
    </row>
    <row r="188" spans="2:16" ht="75.75" thickBot="1" x14ac:dyDescent="0.3">
      <c r="B188" s="6" t="s">
        <v>394</v>
      </c>
      <c r="C188" s="7" t="s">
        <v>395</v>
      </c>
      <c r="D188" s="7" t="s">
        <v>15</v>
      </c>
      <c r="E188" s="8">
        <v>22000</v>
      </c>
      <c r="F188" s="7" t="s">
        <v>16</v>
      </c>
      <c r="G188" s="7" t="s">
        <v>17</v>
      </c>
      <c r="H188" s="9">
        <v>40118</v>
      </c>
      <c r="I188" s="9">
        <v>40118</v>
      </c>
      <c r="J188" s="10">
        <v>0.35799999999999998</v>
      </c>
      <c r="K188" s="10">
        <v>0.27300000000000002</v>
      </c>
      <c r="L188" s="11">
        <v>45200</v>
      </c>
      <c r="M188" s="8">
        <v>52629</v>
      </c>
      <c r="N188" s="8">
        <v>48793</v>
      </c>
      <c r="P188">
        <f t="shared" si="2"/>
        <v>0</v>
      </c>
    </row>
    <row r="189" spans="2:16" ht="30.75" thickBot="1" x14ac:dyDescent="0.3">
      <c r="B189" s="6" t="s">
        <v>396</v>
      </c>
      <c r="C189" s="7" t="s">
        <v>397</v>
      </c>
      <c r="D189" s="7" t="s">
        <v>88</v>
      </c>
      <c r="E189" s="8">
        <v>22000</v>
      </c>
      <c r="F189" s="7" t="s">
        <v>16</v>
      </c>
      <c r="G189" s="7" t="s">
        <v>17</v>
      </c>
      <c r="H189" s="9">
        <v>41134</v>
      </c>
      <c r="I189" s="9">
        <v>41134</v>
      </c>
      <c r="J189" s="10">
        <v>0.29699999999999999</v>
      </c>
      <c r="K189" s="10">
        <v>0.28499999999999998</v>
      </c>
      <c r="L189" s="11">
        <v>45200</v>
      </c>
      <c r="M189" s="8">
        <v>54905</v>
      </c>
      <c r="N189" s="8">
        <v>50795</v>
      </c>
      <c r="P189">
        <f t="shared" si="2"/>
        <v>0</v>
      </c>
    </row>
    <row r="190" spans="2:16" ht="60.75" thickBot="1" x14ac:dyDescent="0.3">
      <c r="B190" s="6" t="s">
        <v>398</v>
      </c>
      <c r="C190" s="7" t="s">
        <v>399</v>
      </c>
      <c r="D190" s="7" t="s">
        <v>25</v>
      </c>
      <c r="E190" s="8">
        <v>21500</v>
      </c>
      <c r="F190" s="7" t="s">
        <v>16</v>
      </c>
      <c r="G190" s="7" t="s">
        <v>17</v>
      </c>
      <c r="H190" s="9">
        <v>38504</v>
      </c>
      <c r="I190" s="9">
        <v>38504</v>
      </c>
      <c r="J190" s="10">
        <v>0.25600000000000001</v>
      </c>
      <c r="K190" s="10">
        <v>0.23100000000000001</v>
      </c>
      <c r="L190" s="11">
        <v>45231</v>
      </c>
      <c r="M190" s="8">
        <v>42970</v>
      </c>
      <c r="N190" s="8">
        <v>34466</v>
      </c>
      <c r="P190">
        <f t="shared" si="2"/>
        <v>0</v>
      </c>
    </row>
    <row r="191" spans="2:16" ht="60.75" thickBot="1" x14ac:dyDescent="0.3">
      <c r="B191" s="6" t="s">
        <v>400</v>
      </c>
      <c r="C191" s="7" t="s">
        <v>401</v>
      </c>
      <c r="D191" s="7" t="s">
        <v>77</v>
      </c>
      <c r="E191" s="8">
        <v>21150</v>
      </c>
      <c r="F191" s="7" t="s">
        <v>16</v>
      </c>
      <c r="G191" s="7" t="s">
        <v>17</v>
      </c>
      <c r="H191" s="9">
        <v>43075</v>
      </c>
      <c r="I191" s="9">
        <v>43075</v>
      </c>
      <c r="J191" s="10">
        <v>0.24299999999999999</v>
      </c>
      <c r="K191" s="10">
        <v>0.216</v>
      </c>
      <c r="L191" s="11">
        <v>45200</v>
      </c>
      <c r="M191" s="8">
        <v>40088</v>
      </c>
      <c r="N191" s="8">
        <v>32546</v>
      </c>
      <c r="P191">
        <f t="shared" si="2"/>
        <v>0</v>
      </c>
    </row>
    <row r="192" spans="2:16" ht="45.75" thickBot="1" x14ac:dyDescent="0.3">
      <c r="B192" s="6" t="s">
        <v>402</v>
      </c>
      <c r="C192" s="7" t="s">
        <v>403</v>
      </c>
      <c r="D192" s="7" t="s">
        <v>77</v>
      </c>
      <c r="E192" s="8">
        <v>21000</v>
      </c>
      <c r="F192" s="7" t="s">
        <v>16</v>
      </c>
      <c r="G192" s="7" t="s">
        <v>17</v>
      </c>
      <c r="H192" s="9">
        <v>41656</v>
      </c>
      <c r="I192" s="9">
        <v>41656</v>
      </c>
      <c r="J192" s="10">
        <v>0.27400000000000002</v>
      </c>
      <c r="K192" s="10">
        <v>0.22600000000000001</v>
      </c>
      <c r="L192" s="11">
        <v>45170</v>
      </c>
      <c r="M192" s="8">
        <v>41580</v>
      </c>
      <c r="N192" s="8">
        <v>37422</v>
      </c>
      <c r="P192">
        <f t="shared" si="2"/>
        <v>0</v>
      </c>
    </row>
    <row r="193" spans="2:16" ht="45.75" thickBot="1" x14ac:dyDescent="0.3">
      <c r="B193" s="6" t="s">
        <v>404</v>
      </c>
      <c r="C193" s="7" t="s">
        <v>405</v>
      </c>
      <c r="D193" s="7" t="s">
        <v>77</v>
      </c>
      <c r="E193" s="8">
        <v>20700</v>
      </c>
      <c r="F193" s="7" t="s">
        <v>16</v>
      </c>
      <c r="G193" s="7" t="s">
        <v>17</v>
      </c>
      <c r="H193" s="9">
        <v>41299</v>
      </c>
      <c r="I193" s="9">
        <v>41299</v>
      </c>
      <c r="J193" s="10">
        <v>0.32400000000000001</v>
      </c>
      <c r="K193" s="10">
        <v>0.25800000000000001</v>
      </c>
      <c r="L193" s="11">
        <v>45231</v>
      </c>
      <c r="M193" s="8">
        <v>46715</v>
      </c>
      <c r="N193" s="8">
        <v>38842</v>
      </c>
      <c r="P193">
        <f t="shared" si="2"/>
        <v>0</v>
      </c>
    </row>
    <row r="194" spans="2:16" ht="60.75" thickBot="1" x14ac:dyDescent="0.3">
      <c r="B194" s="6" t="s">
        <v>406</v>
      </c>
      <c r="C194" s="7" t="s">
        <v>407</v>
      </c>
      <c r="D194" s="7" t="s">
        <v>88</v>
      </c>
      <c r="E194" s="8">
        <v>20700</v>
      </c>
      <c r="F194" s="7" t="s">
        <v>16</v>
      </c>
      <c r="G194" s="7" t="s">
        <v>17</v>
      </c>
      <c r="H194" s="9">
        <v>41814</v>
      </c>
      <c r="I194" s="9">
        <v>41814</v>
      </c>
      <c r="J194" s="10">
        <v>0.34200000000000003</v>
      </c>
      <c r="K194" s="10">
        <v>0.34399999999999997</v>
      </c>
      <c r="L194" s="11">
        <v>45231</v>
      </c>
      <c r="M194" s="8">
        <v>62343</v>
      </c>
      <c r="N194" s="8">
        <v>46161</v>
      </c>
      <c r="P194">
        <f t="shared" si="2"/>
        <v>0</v>
      </c>
    </row>
    <row r="195" spans="2:16" ht="75.75" thickBot="1" x14ac:dyDescent="0.3">
      <c r="B195" s="6" t="s">
        <v>408</v>
      </c>
      <c r="C195" s="7" t="s">
        <v>409</v>
      </c>
      <c r="D195" s="7" t="s">
        <v>88</v>
      </c>
      <c r="E195" s="8">
        <v>20700</v>
      </c>
      <c r="F195" s="7" t="s">
        <v>16</v>
      </c>
      <c r="G195" s="7" t="s">
        <v>17</v>
      </c>
      <c r="H195" s="9">
        <v>41359</v>
      </c>
      <c r="I195" s="9">
        <v>41359</v>
      </c>
      <c r="J195" s="10">
        <v>0.25700000000000001</v>
      </c>
      <c r="K195" s="10">
        <v>0.24399999999999999</v>
      </c>
      <c r="L195" s="11">
        <v>45200</v>
      </c>
      <c r="M195" s="8">
        <v>44327</v>
      </c>
      <c r="N195" s="8">
        <v>42339</v>
      </c>
      <c r="P195">
        <f t="shared" ref="P195:P201" si="3">IF(O195,E195,0)</f>
        <v>0</v>
      </c>
    </row>
    <row r="196" spans="2:16" ht="45.75" thickBot="1" x14ac:dyDescent="0.3">
      <c r="B196" s="6" t="s">
        <v>410</v>
      </c>
      <c r="C196" s="7" t="s">
        <v>411</v>
      </c>
      <c r="D196" s="7" t="s">
        <v>88</v>
      </c>
      <c r="E196" s="8">
        <v>20500</v>
      </c>
      <c r="F196" s="7" t="s">
        <v>16</v>
      </c>
      <c r="G196" s="7" t="s">
        <v>17</v>
      </c>
      <c r="H196" s="9">
        <v>41355</v>
      </c>
      <c r="I196" s="9">
        <v>41355</v>
      </c>
      <c r="J196" s="10">
        <v>0.28499999999999998</v>
      </c>
      <c r="K196" s="10">
        <v>0.25600000000000001</v>
      </c>
      <c r="L196" s="11">
        <v>45200</v>
      </c>
      <c r="M196" s="8">
        <v>45888</v>
      </c>
      <c r="N196" s="8">
        <v>39526</v>
      </c>
      <c r="P196">
        <f t="shared" si="3"/>
        <v>0</v>
      </c>
    </row>
    <row r="197" spans="2:16" ht="60.75" thickBot="1" x14ac:dyDescent="0.3">
      <c r="B197" s="6" t="s">
        <v>412</v>
      </c>
      <c r="C197" s="7" t="s">
        <v>413</v>
      </c>
      <c r="D197" s="7" t="s">
        <v>88</v>
      </c>
      <c r="E197" s="8">
        <v>20500</v>
      </c>
      <c r="F197" s="7" t="s">
        <v>16</v>
      </c>
      <c r="G197" s="7" t="s">
        <v>17</v>
      </c>
      <c r="H197" s="9">
        <v>38718</v>
      </c>
      <c r="I197" s="9">
        <v>38718</v>
      </c>
      <c r="J197" s="10">
        <v>0.19500000000000001</v>
      </c>
      <c r="K197" s="10">
        <v>0.153</v>
      </c>
      <c r="L197" s="11">
        <v>45231</v>
      </c>
      <c r="M197" s="8">
        <v>26710</v>
      </c>
      <c r="N197" s="8">
        <v>22050</v>
      </c>
      <c r="P197">
        <f t="shared" si="3"/>
        <v>0</v>
      </c>
    </row>
    <row r="198" spans="2:16" ht="30.75" thickBot="1" x14ac:dyDescent="0.3">
      <c r="B198" s="6" t="s">
        <v>414</v>
      </c>
      <c r="C198" s="7" t="s">
        <v>415</v>
      </c>
      <c r="D198" s="7" t="s">
        <v>88</v>
      </c>
      <c r="E198" s="8">
        <v>20500</v>
      </c>
      <c r="F198" s="7" t="s">
        <v>16</v>
      </c>
      <c r="G198" s="7" t="s">
        <v>17</v>
      </c>
      <c r="H198" s="9">
        <v>41360</v>
      </c>
      <c r="I198" s="9">
        <v>41360</v>
      </c>
      <c r="J198" s="10">
        <v>0.27900000000000003</v>
      </c>
      <c r="K198" s="10">
        <v>0.254</v>
      </c>
      <c r="L198" s="11">
        <v>45200</v>
      </c>
      <c r="M198" s="8">
        <v>45553</v>
      </c>
      <c r="N198" s="8">
        <v>41851</v>
      </c>
      <c r="P198">
        <f t="shared" si="3"/>
        <v>0</v>
      </c>
    </row>
    <row r="199" spans="2:16" ht="30.75" thickBot="1" x14ac:dyDescent="0.3">
      <c r="B199" s="6" t="s">
        <v>416</v>
      </c>
      <c r="C199" s="7" t="s">
        <v>417</v>
      </c>
      <c r="D199" s="7" t="s">
        <v>88</v>
      </c>
      <c r="E199" s="8">
        <v>20500</v>
      </c>
      <c r="F199" s="7" t="s">
        <v>16</v>
      </c>
      <c r="G199" s="7" t="s">
        <v>17</v>
      </c>
      <c r="H199" s="9">
        <v>41485</v>
      </c>
      <c r="I199" s="9">
        <v>41485</v>
      </c>
      <c r="J199" s="10">
        <v>0.36699999999999999</v>
      </c>
      <c r="K199" s="10">
        <v>0.32400000000000001</v>
      </c>
      <c r="L199" s="11">
        <v>45231</v>
      </c>
      <c r="M199" s="8">
        <v>58255</v>
      </c>
      <c r="N199" s="8">
        <v>45520</v>
      </c>
      <c r="P199">
        <f t="shared" si="3"/>
        <v>0</v>
      </c>
    </row>
    <row r="200" spans="2:16" ht="30.75" thickBot="1" x14ac:dyDescent="0.3">
      <c r="B200" s="6" t="s">
        <v>418</v>
      </c>
      <c r="C200" s="7" t="s">
        <v>419</v>
      </c>
      <c r="D200" s="7" t="s">
        <v>15</v>
      </c>
      <c r="E200" s="8">
        <v>20500</v>
      </c>
      <c r="F200" s="7" t="s">
        <v>16</v>
      </c>
      <c r="G200" s="7" t="s">
        <v>17</v>
      </c>
      <c r="H200" s="9">
        <v>42668</v>
      </c>
      <c r="I200" s="9">
        <v>42668</v>
      </c>
      <c r="J200" s="10">
        <v>0.378</v>
      </c>
      <c r="K200" s="10">
        <v>0.38800000000000001</v>
      </c>
      <c r="L200" s="11">
        <v>45200</v>
      </c>
      <c r="M200" s="8">
        <v>69725</v>
      </c>
      <c r="N200" s="8">
        <v>55377</v>
      </c>
      <c r="P200">
        <f t="shared" si="3"/>
        <v>0</v>
      </c>
    </row>
    <row r="201" spans="2:16" ht="45.75" thickBot="1" x14ac:dyDescent="0.3">
      <c r="B201" s="6" t="s">
        <v>420</v>
      </c>
      <c r="C201" s="7" t="s">
        <v>421</v>
      </c>
      <c r="D201" s="7" t="s">
        <v>25</v>
      </c>
      <c r="E201" s="8">
        <v>20400</v>
      </c>
      <c r="F201" s="7" t="s">
        <v>16</v>
      </c>
      <c r="G201" s="7" t="s">
        <v>17</v>
      </c>
      <c r="H201" s="9">
        <v>37347</v>
      </c>
      <c r="I201" s="9">
        <v>35751</v>
      </c>
      <c r="J201" s="10">
        <v>0.25900000000000001</v>
      </c>
      <c r="K201" s="10">
        <v>0.248</v>
      </c>
      <c r="L201" s="11">
        <v>45231</v>
      </c>
      <c r="M201" s="8">
        <v>44373</v>
      </c>
      <c r="N201" s="8">
        <v>36552</v>
      </c>
      <c r="P201">
        <f t="shared" si="3"/>
        <v>0</v>
      </c>
    </row>
  </sheetData>
  <hyperlinks>
    <hyperlink ref="B1" r:id="rId1" display="https://www.ref.org.uk/generators/search.php?TechCode=NW&amp;start=0&amp;dir=asc&amp;order=1"/>
    <hyperlink ref="C1" r:id="rId2" display="https://www.ref.org.uk/generators/search.php?TechCode=NW&amp;start=0&amp;dir=asc&amp;order=4"/>
    <hyperlink ref="D1" r:id="rId3" display="https://www.ref.org.uk/generators/search.php?TechCode=NW&amp;start=0&amp;dir=asc&amp;order=5"/>
    <hyperlink ref="E1" r:id="rId4" display="https://www.ref.org.uk/generators/search.php?TechCode=NW&amp;start=0&amp;dir=asc&amp;order=6"/>
    <hyperlink ref="F1" r:id="rId5" display="https://www.ref.org.uk/generators/search.php?TechCode=NW&amp;start=0&amp;dir=asc&amp;order=7"/>
    <hyperlink ref="G1" r:id="rId6" display="https://www.ref.org.uk/generators/search.php?TechCode=NW&amp;start=0&amp;dir=asc&amp;order=8"/>
    <hyperlink ref="H1" r:id="rId7" display="https://www.ref.org.uk/generators/search.php?TechCode=NW&amp;start=0&amp;dir=asc&amp;order=9"/>
    <hyperlink ref="I1" r:id="rId8" display="https://www.ref.org.uk/generators/search.php?TechCode=NW&amp;start=0&amp;dir=asc&amp;order=10"/>
    <hyperlink ref="J1" r:id="rId9" display="https://www.ref.org.uk/generators/search.php?TechCode=NW&amp;start=0&amp;dir=asc&amp;order=11"/>
    <hyperlink ref="K1" r:id="rId10" display="https://www.ref.org.uk/generators/search.php?TechCode=NW&amp;start=0&amp;dir=asc&amp;order=12"/>
    <hyperlink ref="L1" r:id="rId11" display="https://www.ref.org.uk/generators/search.php?TechCode=NW&amp;start=0&amp;dir=asc&amp;order=13"/>
    <hyperlink ref="M1" r:id="rId12" display="https://www.ref.org.uk/generators/search.php?TechCode=NW&amp;start=0&amp;dir=asc&amp;order=14"/>
    <hyperlink ref="N1" r:id="rId13" display="https://www.ref.org.uk/generators/search.php?TechCode=NW&amp;start=0&amp;dir=asc&amp;order=15"/>
    <hyperlink ref="B2" r:id="rId14" display="https://www.ref.org.uk/generators/view.php?rid=R00089SQSC"/>
    <hyperlink ref="B3" r:id="rId15" display="https://www.ref.org.uk/generators/view.php?rid=R00316SQSC"/>
    <hyperlink ref="B4" r:id="rId16" display="https://www.ref.org.uk/generators/view.php?rid=T_SOKYW"/>
    <hyperlink ref="B5" r:id="rId17" display="https://www.ref.org.uk/generators/view.php?rid=R00210RQWA"/>
    <hyperlink ref="B6" r:id="rId18" display="https://www.ref.org.uk/generators/view.php?rid=R00332SQSC"/>
    <hyperlink ref="B7" r:id="rId19" display="https://www.ref.org.uk/generators/view.php?rid=R00169SQSC"/>
    <hyperlink ref="B8" r:id="rId20" display="https://www.ref.org.uk/generators/view.php?rid=R00187SQSC"/>
    <hyperlink ref="B9" r:id="rId21" display="https://www.ref.org.uk/generators/view.php?rid=R00173SQSC"/>
    <hyperlink ref="B10" r:id="rId22" display="https://www.ref.org.uk/generators/view.php?rid=R00160SQSC"/>
    <hyperlink ref="B11" r:id="rId23" display="https://www.ref.org.uk/generators/view.php?rid=DOR"/>
    <hyperlink ref="B12" r:id="rId24" display="https://www.ref.org.uk/generators/view.php?rid=R00161SQSC"/>
    <hyperlink ref="B13" r:id="rId25" display="https://www.ref.org.uk/generators/view.php?rid=R00224SQSC"/>
    <hyperlink ref="B14" r:id="rId26" display="https://www.ref.org.uk/generators/view.php?rid=R00103SQSC"/>
    <hyperlink ref="B15" r:id="rId27" display="https://www.ref.org.uk/generators/view.php?rid=R00165SQSC"/>
    <hyperlink ref="B16" r:id="rId28" display="https://www.ref.org.uk/generators/view.php?rid=R00060SQSC"/>
    <hyperlink ref="B17" r:id="rId29" display="https://www.ref.org.uk/generators/view.php?rid=R00150SQSC"/>
    <hyperlink ref="B18" r:id="rId30" display="https://www.ref.org.uk/generators/view.php?rid=R00063SQSC"/>
    <hyperlink ref="B19" r:id="rId31" display="https://www.ref.org.uk/generators/view.php?rid=R00321SQSC"/>
    <hyperlink ref="B20" r:id="rId32" display="https://www.ref.org.uk/generators/view.php?rid=R00262SQSC"/>
    <hyperlink ref="B21" r:id="rId33" display="https://www.ref.org.uk/generators/view.php?rid=CLO"/>
    <hyperlink ref="B22" r:id="rId34" display="https://www.ref.org.uk/generators/view.php?rid=R00312SQSC"/>
    <hyperlink ref="B23" r:id="rId35" display="https://www.ref.org.uk/generators/view.php?rid=T_CREAW"/>
    <hyperlink ref="B24" r:id="rId36" display="https://www.ref.org.uk/generators/view.php?rid=R00062SQSC"/>
    <hyperlink ref="B25" r:id="rId37" display="https://www.ref.org.uk/generators/view.php?rid=BKM"/>
    <hyperlink ref="B26" r:id="rId38" display="https://www.ref.org.uk/generators/view.php?rid=T_SAKNW"/>
    <hyperlink ref="B27" r:id="rId39" display="https://www.ref.org.uk/generators/view.php?rid=T_AKGLW"/>
    <hyperlink ref="B28" r:id="rId40" display="https://www.ref.org.uk/generators/view.php?rid=R00212SQSC"/>
    <hyperlink ref="B29" r:id="rId41" display="https://www.ref.org.uk/generators/view.php?rid=R00308SQSC"/>
    <hyperlink ref="B30" r:id="rId42" display="https://www.ref.org.uk/generators/view.php?rid=R00097NQNI"/>
    <hyperlink ref="B31" r:id="rId43" display="https://www.ref.org.uk/generators/view.php?rid=R00074SQSC"/>
    <hyperlink ref="B32" r:id="rId44" display="https://www.ref.org.uk/generators/view.php?rid=R00170SQSC"/>
    <hyperlink ref="B33" r:id="rId45" display="https://www.ref.org.uk/generators/view.php?rid=R00285SQSC"/>
    <hyperlink ref="B34" r:id="rId46" display="https://www.ref.org.uk/generators/view.php?rid=R00163SQSC"/>
    <hyperlink ref="B35" r:id="rId47" display="https://www.ref.org.uk/generators/view.php?rid=R00313RQEN"/>
    <hyperlink ref="B36" r:id="rId48" display="https://www.ref.org.uk/generators/view.php?rid=R00264SQSC"/>
    <hyperlink ref="B37" r:id="rId49" display="https://www.ref.org.uk/generators/view.php?rid=R00093SQSC"/>
    <hyperlink ref="B38" r:id="rId50" display="https://www.ref.org.uk/generators/view.php?rid=T_KYPEW"/>
    <hyperlink ref="B39" r:id="rId51" display="https://www.ref.org.uk/generators/view.php?rid=R00237SQSC"/>
    <hyperlink ref="B40" r:id="rId52" display="https://www.ref.org.uk/generators/view.php?rid=R00236RQEN"/>
    <hyperlink ref="B41" r:id="rId53" display="https://www.ref.org.uk/generators/view.php?rid=R00296SQSC"/>
    <hyperlink ref="B42" r:id="rId54" display="https://www.ref.org.uk/generators/view.php?rid=R00079SQSC"/>
    <hyperlink ref="B43" r:id="rId55" display="https://www.ref.org.uk/generators/view.php?rid=R00200RQEN"/>
    <hyperlink ref="B44" r:id="rId56" display="https://www.ref.org.uk/generators/view.php?rid=R00066SQSC"/>
    <hyperlink ref="B45" r:id="rId57" display="https://www.ref.org.uk/generators/view.php?rid=R00049SQSC"/>
    <hyperlink ref="B46" r:id="rId58" display="https://www.ref.org.uk/generators/view.php?rid=T_KENNW"/>
    <hyperlink ref="B47" r:id="rId59" display="https://www.ref.org.uk/generators/view.php?rid=R00299SQSC"/>
    <hyperlink ref="B48" r:id="rId60" display="https://www.ref.org.uk/generators/view.php?rid=R00251SQSC"/>
    <hyperlink ref="B49" r:id="rId61" display="https://www.ref.org.uk/generators/view.php?rid=R00243SQSC"/>
    <hyperlink ref="B50" r:id="rId62" display="https://www.ref.org.uk/generators/view.php?rid=R00201RQEN"/>
    <hyperlink ref="B51" r:id="rId63" display="https://www.ref.org.uk/generators/view.php?rid=R00218RQWA"/>
    <hyperlink ref="B52" r:id="rId64" display="https://www.ref.org.uk/generators/view.php?rid=R00148SQSC"/>
    <hyperlink ref="B53" r:id="rId65" display="https://www.ref.org.uk/generators/view.php?rid=R00240SQSC"/>
    <hyperlink ref="B54" r:id="rId66" display="https://www.ref.org.uk/generators/view.php?rid=R00374RQEN"/>
    <hyperlink ref="B55" r:id="rId67" display="https://www.ref.org.uk/generators/view.php?rid=R00027NQNI"/>
    <hyperlink ref="B56" r:id="rId68" display="https://www.ref.org.uk/generators/view.php?rid=R00308RQEN"/>
    <hyperlink ref="B57" r:id="rId69" display="https://www.ref.org.uk/generators/view.php?rid=R00281SQSC"/>
    <hyperlink ref="B58" r:id="rId70" display="https://www.ref.org.uk/generators/view.php?rid=R00186SQSC"/>
    <hyperlink ref="B59" r:id="rId71" display="https://www.ref.org.uk/generators/view.php?rid=R00329SQSC"/>
    <hyperlink ref="B60" r:id="rId72" display="https://www.ref.org.uk/generators/view.php?rid=R00272SQSC"/>
    <hyperlink ref="B61" r:id="rId73" display="https://www.ref.org.uk/generators/view.php?rid=R00357RQEN"/>
    <hyperlink ref="B62" r:id="rId74" display="https://www.ref.org.uk/generators/view.php?rid=BMM"/>
    <hyperlink ref="B63" r:id="rId75" display="https://www.ref.org.uk/generators/view.php?rid=R00055SQSC"/>
    <hyperlink ref="B64" r:id="rId76" display="https://www.ref.org.uk/generators/view.php?rid=T_GLNKW"/>
    <hyperlink ref="B65" r:id="rId77" display="https://www.ref.org.uk/generators/view.php?rid=R00205SQSC"/>
    <hyperlink ref="B66" r:id="rId78" display="https://www.ref.org.uk/generators/view.php?rid=E_BTUIW"/>
    <hyperlink ref="B67" r:id="rId79" display="https://www.ref.org.uk/generators/view.php?rid=R01223NQNI"/>
    <hyperlink ref="B68" r:id="rId80" display="https://www.ref.org.uk/generators/view.php?rid=R00284SQSC"/>
    <hyperlink ref="B69" r:id="rId81" display="https://www.ref.org.uk/generators/view.php?rid=T_CRDEW"/>
    <hyperlink ref="B70" r:id="rId82" display="https://www.ref.org.uk/generators/view.php?rid=R00176SQSC"/>
    <hyperlink ref="B71" r:id="rId83" display="https://www.ref.org.uk/generators/view.php?rid=R00111SQSC"/>
    <hyperlink ref="B72" r:id="rId84" display="https://www.ref.org.uk/generators/view.php?rid=R00095SQSC"/>
    <hyperlink ref="B73" r:id="rId85" display="https://www.ref.org.uk/generators/view.php?rid=T_GORDW"/>
    <hyperlink ref="B74" r:id="rId86" display="https://www.ref.org.uk/generators/view.php?regoid=G01329NWNI"/>
    <hyperlink ref="B75" r:id="rId87" display="https://www.ref.org.uk/generators/view.php?rid=T_DOUGW"/>
    <hyperlink ref="B76" r:id="rId88" display="https://www.ref.org.uk/generators/view.php?rid=R00199RQWA"/>
    <hyperlink ref="B77" r:id="rId89" display="https://www.ref.org.uk/generators/view.php?rid=R00216SQSC"/>
    <hyperlink ref="B78" r:id="rId90" display="https://www.ref.org.uk/generators/view.php?rid=R00184SQSC"/>
    <hyperlink ref="B79" r:id="rId91" display="https://www.ref.org.uk/generators/view.php?rid=R00148RQWA"/>
    <hyperlink ref="B80" r:id="rId92" display="https://www.ref.org.uk/generators/view.php?rid=R00266RQEN"/>
    <hyperlink ref="B81" r:id="rId93" display="https://www.ref.org.uk/generators/view.php?rid=T_WDRGW"/>
    <hyperlink ref="B82" r:id="rId94" display="https://www.ref.org.uk/generators/view.php?rid=R00238SQSC"/>
    <hyperlink ref="B83" r:id="rId95" display="https://www.ref.org.uk/generators/view.php?rid=T_CUMHW"/>
    <hyperlink ref="B84" r:id="rId96" display="https://www.ref.org.uk/generators/view.php?rid=R00198NQNI"/>
    <hyperlink ref="B85" r:id="rId97" display="https://www.ref.org.uk/generators/view.php?rid=T_DALQW"/>
    <hyperlink ref="B86" r:id="rId98" display="https://www.ref.org.uk/generators/view.php?rid=R00122SQSC"/>
    <hyperlink ref="B87" r:id="rId99" display="https://www.ref.org.uk/generators/view.php?rid=R00197SQSC"/>
    <hyperlink ref="B88" r:id="rId100" display="https://www.ref.org.uk/generators/view.php?rid=R00121SQSC"/>
    <hyperlink ref="B89" r:id="rId101" display="https://www.ref.org.uk/generators/view.php?rid=R00324SQSC"/>
    <hyperlink ref="B90" r:id="rId102" display="https://www.ref.org.uk/generators/view.php?rid=NAN"/>
    <hyperlink ref="B91" r:id="rId103" display="https://www.ref.org.uk/generators/view.php?rid=R00135SQSC"/>
    <hyperlink ref="B92" r:id="rId104" display="https://www.ref.org.uk/generators/view.php?rid=R00266SQSC"/>
    <hyperlink ref="B93" r:id="rId105" display="https://www.ref.org.uk/generators/view.php?rid=R00319SQSC"/>
    <hyperlink ref="B94" r:id="rId106" display="https://www.ref.org.uk/generators/view.php?rid=R00495NQNI"/>
    <hyperlink ref="B95" r:id="rId107" display="https://www.ref.org.uk/generators/view.php?rid=R00119SQSC"/>
    <hyperlink ref="B96" r:id="rId108" display="https://www.ref.org.uk/generators/view.php?rid=T_TWSHW"/>
    <hyperlink ref="B97" r:id="rId109" display="https://www.ref.org.uk/generators/view.php?rid=BRE"/>
    <hyperlink ref="B98" r:id="rId110" display="https://www.ref.org.uk/generators/view.php?rid=R00069SQSC"/>
    <hyperlink ref="B99" r:id="rId111" display="https://www.ref.org.uk/generators/view.php?rid=R00341RQEN"/>
    <hyperlink ref="B100" r:id="rId112" display="https://www.ref.org.uk/generators/view.php?rid=R00244SQSC"/>
    <hyperlink ref="B101" r:id="rId113" display="https://www.ref.org.uk/generators/view.php?rid=R00209SQSC"/>
    <hyperlink ref="B102" r:id="rId114" display="https://www.ref.org.uk/generators/view.php?rid=R00092SQSC"/>
    <hyperlink ref="B103" r:id="rId115" display="https://www.ref.org.uk/generators/view.php?rid=R00086SQSC"/>
    <hyperlink ref="B104" r:id="rId116" display="https://www.ref.org.uk/generators/view.php?rid=R00291SQSC"/>
    <hyperlink ref="B105" r:id="rId117" display="https://www.ref.org.uk/generators/view.php?rid=E_GRGRW"/>
    <hyperlink ref="B106" r:id="rId118" display="https://www.ref.org.uk/generators/view.php?rid=R00279RQEN"/>
    <hyperlink ref="B107" r:id="rId119" display="https://www.ref.org.uk/generators/view.php?rid=E_BLARW"/>
    <hyperlink ref="B108" r:id="rId120" display="https://www.ref.org.uk/generators/view.php?rid=R00402RQEN"/>
    <hyperlink ref="B109" r:id="rId121" display="https://www.ref.org.uk/generators/view.php?rid=R00995NQNI"/>
    <hyperlink ref="B110" r:id="rId122" display="https://www.ref.org.uk/generators/view.php?rid=R00197RQWA"/>
    <hyperlink ref="B111" r:id="rId123" display="https://www.ref.org.uk/generators/view.php?rid=R00205RQWA"/>
    <hyperlink ref="B112" r:id="rId124" display="https://www.ref.org.uk/generators/view.php?rid=R00320RQEN"/>
    <hyperlink ref="B113" r:id="rId125" display="https://www.ref.org.uk/generators/view.php?rid=R00300SQSC"/>
    <hyperlink ref="B114" r:id="rId126" display="https://www.ref.org.uk/generators/view.php?rid=MYN"/>
    <hyperlink ref="B115" r:id="rId127" display="https://www.ref.org.uk/generators/view.php?rid=R00077NQNI"/>
    <hyperlink ref="B116" r:id="rId128" display="https://www.ref.org.uk/generators/view.php?rid=R00227SQSC"/>
    <hyperlink ref="B117" r:id="rId129" display="https://www.ref.org.uk/generators/view.php?rid=R00157RQWA"/>
    <hyperlink ref="B118" r:id="rId130" display="https://www.ref.org.uk/generators/view.php?rid=R00377RQEN"/>
    <hyperlink ref="B119" r:id="rId131" display="https://www.ref.org.uk/generators/view.php?rid=R00323SQSC"/>
    <hyperlink ref="B120" r:id="rId132" display="https://www.ref.org.uk/generators/view.php?rid=R00145SQSC"/>
    <hyperlink ref="B121" r:id="rId133" display="https://www.ref.org.uk/generators/view.php?rid=R00310SQSC"/>
    <hyperlink ref="B122" r:id="rId134" display="https://www.ref.org.uk/generators/view.php?rid=R00211RQEN"/>
    <hyperlink ref="B123" r:id="rId135" display="https://www.ref.org.uk/generators/view.php?rid=R00149NQNI"/>
    <hyperlink ref="B124" r:id="rId136" display="https://www.ref.org.uk/generators/view.php?rid=R00051SQSC"/>
    <hyperlink ref="B125" r:id="rId137" display="https://www.ref.org.uk/generators/view.php?rid=T_HALSW"/>
    <hyperlink ref="B126" r:id="rId138" display="https://www.ref.org.uk/generators/view.php?rid=COI"/>
    <hyperlink ref="B127" r:id="rId139" display="https://www.ref.org.uk/generators/view.php?rid=R00038NQNI"/>
    <hyperlink ref="B128" r:id="rId140" display="https://www.ref.org.uk/generators/view.php?rid=R00226SQSC"/>
    <hyperlink ref="B129" r:id="rId141" display="https://www.ref.org.uk/generators/view.php?rid=R00087SQSC"/>
    <hyperlink ref="B130" r:id="rId142" display="https://www.ref.org.uk/generators/view.php?rid=SOL"/>
    <hyperlink ref="B131" r:id="rId143" display="https://www.ref.org.uk/generators/view.php?rid=R00246SQSC"/>
    <hyperlink ref="B132" r:id="rId144" display="https://www.ref.org.uk/generators/view.php?rid=R00064SQSC"/>
    <hyperlink ref="B133" r:id="rId145" display="https://www.ref.org.uk/generators/view.php?rid=R00052SQSC"/>
    <hyperlink ref="B134" r:id="rId146" display="https://www.ref.org.uk/generators/view.php?rid=R00125SQSC"/>
    <hyperlink ref="B135" r:id="rId147" display="https://www.ref.org.uk/generators/view.php?rid=R00348RQEN"/>
    <hyperlink ref="B136" r:id="rId148" display="https://www.ref.org.uk/generators/view.php?rid=R00311SQSC"/>
    <hyperlink ref="B137" r:id="rId149" display="https://www.ref.org.uk/generators/view.php?rid=R00380RQEN"/>
    <hyperlink ref="B138" r:id="rId150" display="https://www.ref.org.uk/generators/view.php?rid=R00076SQSC"/>
    <hyperlink ref="B139" r:id="rId151" display="https://www.ref.org.uk/generators/view.php?rid=R00152SQSC"/>
    <hyperlink ref="B140" r:id="rId152" display="https://www.ref.org.uk/generators/view.php?rid=R00059SQSC"/>
    <hyperlink ref="B141" r:id="rId153" display="https://www.ref.org.uk/generators/view.php?rid=R00004NQNI"/>
    <hyperlink ref="B142" r:id="rId154" display="https://www.ref.org.uk/generators/view.php?rid=R00338SQSC"/>
    <hyperlink ref="B143" r:id="rId155" display="https://www.ref.org.uk/generators/view.php?rid=R00312RQEN"/>
    <hyperlink ref="B144" r:id="rId156" display="https://www.ref.org.uk/generators/view.php?rid=R00172SQSC"/>
    <hyperlink ref="B145" r:id="rId157" display="https://www.ref.org.uk/generators/view.php?rid=R00498NQNI"/>
    <hyperlink ref="B146" r:id="rId158" display="https://www.ref.org.uk/generators/view.php?rid=R00082SQSC"/>
    <hyperlink ref="B147" r:id="rId159" display="https://www.ref.org.uk/generators/view.php?rid=R00120SQSC"/>
    <hyperlink ref="B148" r:id="rId160" display="https://www.ref.org.uk/generators/view.php?rid=R00278SQSC"/>
    <hyperlink ref="B149" r:id="rId161" display="https://www.ref.org.uk/generators/view.php?rid=R00306SQSC"/>
    <hyperlink ref="B150" r:id="rId162" display="https://www.ref.org.uk/generators/view.php?rid=R00088SQSC"/>
    <hyperlink ref="B151" r:id="rId163" display="https://www.ref.org.uk/generators/view.php?rid=R00265RQEN"/>
    <hyperlink ref="B152" r:id="rId164" display="https://www.ref.org.uk/generators/view.php?rid=R00263SQSC"/>
    <hyperlink ref="B153" r:id="rId165" display="https://www.ref.org.uk/generators/view.php?rid=BAD"/>
    <hyperlink ref="B154" r:id="rId166" display="https://www.ref.org.uk/generators/view.php?rid=R00345RQEN"/>
    <hyperlink ref="B155" r:id="rId167" display="https://www.ref.org.uk/generators/view.php?rid=R00193RQWA"/>
    <hyperlink ref="B156" r:id="rId168" display="https://www.ref.org.uk/generators/view.php?rid=R00058SQSC"/>
    <hyperlink ref="B157" r:id="rId169" display="https://www.ref.org.uk/generators/view.php?rid=R00294SQSC"/>
    <hyperlink ref="B158" r:id="rId170" display="https://www.ref.org.uk/generators/view.php?rid=R00194RQEN"/>
    <hyperlink ref="B159" r:id="rId171" display="https://www.ref.org.uk/generators/view.php?rid=R00257SQSC"/>
    <hyperlink ref="B160" r:id="rId172" display="https://www.ref.org.uk/generators/view.php?rid=R00096SQSC"/>
    <hyperlink ref="B161" r:id="rId173" display="https://www.ref.org.uk/generators/view.php?rid=R00002NQNI"/>
    <hyperlink ref="B162" r:id="rId174" display="https://www.ref.org.uk/generators/view.php?rid=R00283RQEN"/>
    <hyperlink ref="B163" r:id="rId175" display="https://www.ref.org.uk/generators/view.php?rid=R00313SQSC"/>
    <hyperlink ref="B164" r:id="rId176" display="https://www.ref.org.uk/generators/view.php?rid=R00260SQSC"/>
    <hyperlink ref="B165" r:id="rId177" display="https://www.ref.org.uk/generators/view.php?rid=R00893NQNI"/>
    <hyperlink ref="B166" r:id="rId178" display="https://www.ref.org.uk/generators/view.php?rid=R00036NQNI"/>
    <hyperlink ref="B167" r:id="rId179" display="https://www.ref.org.uk/generators/view.php?rid=R00233SQSC"/>
    <hyperlink ref="B168" r:id="rId180" display="https://www.ref.org.uk/generators/view.php?rid=R00162SQSC"/>
    <hyperlink ref="B169" r:id="rId181" display="https://www.ref.org.uk/generators/view.php?rid=R00189SQSC"/>
    <hyperlink ref="B170" r:id="rId182" display="https://www.ref.org.uk/generators/view.php?rid=R00203RQWA"/>
    <hyperlink ref="B171" r:id="rId183" display="https://www.ref.org.uk/generators/view.php?rid=R00244RQEN"/>
    <hyperlink ref="B172" r:id="rId184" display="https://www.ref.org.uk/generators/view.php?rid=R00273RQEN"/>
    <hyperlink ref="B173" r:id="rId185" display="https://www.ref.org.uk/generators/view.php?rid=R00257RQEN"/>
    <hyperlink ref="B174" r:id="rId186" display="https://www.ref.org.uk/generators/view.php?rid=R00217RQWA"/>
    <hyperlink ref="B175" r:id="rId187" display="https://www.ref.org.uk/generators/view.php?regoid=G02637NWSC"/>
    <hyperlink ref="B176" r:id="rId188" display="https://www.ref.org.uk/generators/view.php?rid=R00196RQWA"/>
    <hyperlink ref="B177" r:id="rId189" display="https://www.ref.org.uk/generators/view.php?rid=R00166SQSC"/>
    <hyperlink ref="B178" r:id="rId190" display="https://www.ref.org.uk/generators/view.php?rid=R00219RQEN"/>
    <hyperlink ref="B179" r:id="rId191" display="https://www.ref.org.uk/generators/view.php?regoid=G01330NWNI"/>
    <hyperlink ref="B180" r:id="rId192" display="https://www.ref.org.uk/generators/view.php?rid=R00295SQSC"/>
    <hyperlink ref="B181" r:id="rId193" display="https://www.ref.org.uk/generators/view.php?rid=R00191RQWA"/>
    <hyperlink ref="B182" r:id="rId194" display="https://www.ref.org.uk/generators/view.php?rid=R01231NQNI"/>
    <hyperlink ref="B183" r:id="rId195" display="https://www.ref.org.uk/generators/view.php?rid=R00261SQSC"/>
    <hyperlink ref="B184" r:id="rId196" display="https://www.ref.org.uk/generators/view.php?rid=R00273SQSC"/>
    <hyperlink ref="B185" r:id="rId197" display="https://www.ref.org.uk/generators/view.php?rid=R00200RQWA"/>
    <hyperlink ref="B186" r:id="rId198" display="https://www.ref.org.uk/generators/view.php?rid=R00241SQSC"/>
    <hyperlink ref="B187" r:id="rId199" display="https://www.ref.org.uk/generators/view.php?rid=R00318SQSC"/>
    <hyperlink ref="B188" r:id="rId200" display="https://www.ref.org.uk/generators/view.php?rid=R00099SQSC"/>
    <hyperlink ref="B189" r:id="rId201" display="https://www.ref.org.uk/generators/view.php?rid=R00252RQEN"/>
    <hyperlink ref="B190" r:id="rId202" display="https://www.ref.org.uk/generators/view.php?rid=R00153RQWA"/>
    <hyperlink ref="B191" r:id="rId203" display="https://www.ref.org.uk/generators/view.php?rid=R00983NQNI"/>
    <hyperlink ref="B192" r:id="rId204" display="https://www.ref.org.uk/generators/view.php?rid=R00102NQNI"/>
    <hyperlink ref="B193" r:id="rId205" display="https://www.ref.org.uk/generators/view.php?rid=R00155NQNI"/>
    <hyperlink ref="B194" r:id="rId206" display="https://www.ref.org.uk/generators/view.php?rid=R00332RQEN"/>
    <hyperlink ref="B195" r:id="rId207" display="https://www.ref.org.uk/generators/view.php?rid=R00304RQEN"/>
    <hyperlink ref="B196" r:id="rId208" display="https://www.ref.org.uk/generators/view.php?rid=R00280RQEN"/>
    <hyperlink ref="B197" r:id="rId209" display="https://www.ref.org.uk/generators/view.php?rid=R00163RQEN"/>
    <hyperlink ref="B198" r:id="rId210" display="https://www.ref.org.uk/generators/view.php?rid=R00303RQEN"/>
    <hyperlink ref="B199" r:id="rId211" display="https://www.ref.org.uk/generators/view.php?rid=R00274RQEN"/>
    <hyperlink ref="B200" r:id="rId212" display="https://www.ref.org.uk/generators/view.php?rid=R00322SQSC"/>
    <hyperlink ref="B201" r:id="rId213" display="https://www.ref.org.uk/generators/view.php?rid=R00034RQWA"/>
  </hyperlinks>
  <pageMargins left="0.7" right="0.7" top="0.75" bottom="0.75" header="0.3" footer="0.3"/>
  <pageSetup orientation="portrait" r:id="rId2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Diarmid Roberts</dc:creator>
  <cp:lastModifiedBy>Diarmid Roberts</cp:lastModifiedBy>
  <dcterms:created xsi:type="dcterms:W3CDTF">2024-02-13T09:48:33Z</dcterms:created>
  <dcterms:modified xsi:type="dcterms:W3CDTF">2024-02-13T10:29:47Z</dcterms:modified>
</cp:coreProperties>
</file>