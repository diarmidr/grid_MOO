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\grid_MOO\data\"/>
    </mc:Choice>
  </mc:AlternateContent>
  <bookViews>
    <workbookView xWindow="0" yWindow="0" windowWidth="21570" windowHeight="87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X2" i="1" l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X1" i="1" s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2" i="1"/>
  <c r="X3" i="1" l="1"/>
</calcChain>
</file>

<file path=xl/sharedStrings.xml><?xml version="1.0" encoding="utf-8"?>
<sst xmlns="http://schemas.openxmlformats.org/spreadsheetml/2006/main" count="279" uniqueCount="138">
  <si>
    <t>ID</t>
  </si>
  <si>
    <t>Generator Name</t>
  </si>
  <si>
    <t>Country</t>
  </si>
  <si>
    <t>IC (kW)</t>
  </si>
  <si>
    <t>Technology</t>
  </si>
  <si>
    <t>Subsidy</t>
  </si>
  <si>
    <t>Accreditation</t>
  </si>
  <si>
    <t>Commissioned</t>
  </si>
  <si>
    <t>RLF</t>
  </si>
  <si>
    <t>ALF</t>
  </si>
  <si>
    <t>LatestData</t>
  </si>
  <si>
    <t>Latest MWh p.a.</t>
  </si>
  <si>
    <t>Latest ROCs p.a.</t>
  </si>
  <si>
    <t>T_HOWBO</t>
  </si>
  <si>
    <t>Hornsea 2 - Phase 2</t>
  </si>
  <si>
    <t>England</t>
  </si>
  <si>
    <t>Off-shore wind</t>
  </si>
  <si>
    <t>None</t>
  </si>
  <si>
    <t>HOR</t>
  </si>
  <si>
    <t>Hornsea 1</t>
  </si>
  <si>
    <t>CfD</t>
  </si>
  <si>
    <t>T_SGRWO</t>
  </si>
  <si>
    <t>Seagreen Wind Energy Limited</t>
  </si>
  <si>
    <t>Scotland</t>
  </si>
  <si>
    <t>T_MOWEO</t>
  </si>
  <si>
    <t>Moray East Offshore</t>
  </si>
  <si>
    <t>TKN</t>
  </si>
  <si>
    <t>Triton Knoll</t>
  </si>
  <si>
    <t>EAS</t>
  </si>
  <si>
    <t>East Anglia 1 Offshore</t>
  </si>
  <si>
    <t>WAL</t>
  </si>
  <si>
    <t>Walney Extension</t>
  </si>
  <si>
    <t>R00021RPEN</t>
  </si>
  <si>
    <t>London Array Offshore Windfarm</t>
  </si>
  <si>
    <t>RO</t>
  </si>
  <si>
    <t>BEA</t>
  </si>
  <si>
    <t>Beatrice Offshore</t>
  </si>
  <si>
    <t>R00007RPWA</t>
  </si>
  <si>
    <t>Gwynt y Mor</t>
  </si>
  <si>
    <t>Wales</t>
  </si>
  <si>
    <t>R00032RPEN</t>
  </si>
  <si>
    <t>Race Bank</t>
  </si>
  <si>
    <t>R00014RPEN</t>
  </si>
  <si>
    <t>Greater Gabbard</t>
  </si>
  <si>
    <t>R00034RPEN</t>
  </si>
  <si>
    <t>Rampion</t>
  </si>
  <si>
    <t>DUD</t>
  </si>
  <si>
    <t>Dudgeon Offshore</t>
  </si>
  <si>
    <t>R00027RPEN</t>
  </si>
  <si>
    <t>West of Duddon Sands Offshore Wind Farm</t>
  </si>
  <si>
    <t>R00031RPEN</t>
  </si>
  <si>
    <t>Galloper Wind Farm</t>
  </si>
  <si>
    <t>R00022RPEN</t>
  </si>
  <si>
    <t>Sheringham Shoal</t>
  </si>
  <si>
    <t>T_DBAWO</t>
  </si>
  <si>
    <t>Dogger Bank A 1</t>
  </si>
  <si>
    <t>R00015RPEN</t>
  </si>
  <si>
    <t>Thanet Offshore Wind Farm</t>
  </si>
  <si>
    <t>R00025RPEN</t>
  </si>
  <si>
    <t>Lincs Wind Farm</t>
  </si>
  <si>
    <t>BUR</t>
  </si>
  <si>
    <t>Burbo Bank Extension</t>
  </si>
  <si>
    <t>R00029RPEN</t>
  </si>
  <si>
    <t>Humber Gateway Offshore Wind Farm</t>
  </si>
  <si>
    <t>R00028RPEN</t>
  </si>
  <si>
    <t>Westermost Rough</t>
  </si>
  <si>
    <t>R00019RPEN</t>
  </si>
  <si>
    <t>Walney Offshore Wind Phase I</t>
  </si>
  <si>
    <t>R00023RPEN</t>
  </si>
  <si>
    <t>Walney Offshore Wind Phase II</t>
  </si>
  <si>
    <t>R00020RPEN</t>
  </si>
  <si>
    <t>Ormonde Wind Farm</t>
  </si>
  <si>
    <t>R00012RPEN</t>
  </si>
  <si>
    <t>Gunfleet Sands I</t>
  </si>
  <si>
    <t>R00011RPEN</t>
  </si>
  <si>
    <t>Inner Dowsing Offshore Wind Farm</t>
  </si>
  <si>
    <t>R00010RPEN</t>
  </si>
  <si>
    <t>Lynn Offshore Wind Farm</t>
  </si>
  <si>
    <t>R00002DTSC</t>
  </si>
  <si>
    <t>Aberdeen Offshore Windfarm - Demonstration</t>
  </si>
  <si>
    <t>R00006RPEN</t>
  </si>
  <si>
    <t>Kentish Flats Ltd - A,C</t>
  </si>
  <si>
    <t>R00002SPSC</t>
  </si>
  <si>
    <t>Robin Rigg Offshore Wind Farm (West)</t>
  </si>
  <si>
    <t>R00005RPWA</t>
  </si>
  <si>
    <t>Rhyl Flats Wind farm</t>
  </si>
  <si>
    <t>R00008RPEN</t>
  </si>
  <si>
    <t>Burbo Offshore Windfarm - A (31/01/07)</t>
  </si>
  <si>
    <t>R00003SPSC</t>
  </si>
  <si>
    <t>Robin Rigg Offshore Wind Farm (East)</t>
  </si>
  <si>
    <t>R00007RPEN</t>
  </si>
  <si>
    <t>Barrow Offshore Windfarm - A</t>
  </si>
  <si>
    <t>R00013RPEN</t>
  </si>
  <si>
    <t>Gunfleet Sands II</t>
  </si>
  <si>
    <t>R00024RPEN</t>
  </si>
  <si>
    <t>Teesside windfarm</t>
  </si>
  <si>
    <t>R00005RPEN</t>
  </si>
  <si>
    <t>Scroby Sands Wind Farm</t>
  </si>
  <si>
    <t>R00004RPWA</t>
  </si>
  <si>
    <t>North Hoyle Offshore Wind Farm - A</t>
  </si>
  <si>
    <t>R00003FTSC</t>
  </si>
  <si>
    <t>Kincardine Offshore Windfarm</t>
  </si>
  <si>
    <t>R00030RPEN</t>
  </si>
  <si>
    <t>Kentish Flats Extension Wind Farm</t>
  </si>
  <si>
    <t>R00033RPEN</t>
  </si>
  <si>
    <t>Blyth Offshore Demonstrator</t>
  </si>
  <si>
    <t>R00001FTSC</t>
  </si>
  <si>
    <t>Hywind Scotland Pilot Park</t>
  </si>
  <si>
    <t>R00026RPEN</t>
  </si>
  <si>
    <t>Gunfleet Sands Demo</t>
  </si>
  <si>
    <t>R00001SPSC</t>
  </si>
  <si>
    <t>Beatrice Offshore Windfarm</t>
  </si>
  <si>
    <t>R00004SPSC</t>
  </si>
  <si>
    <t>Fife Energy Park Offshore Demonstration WT(FEPODWT)</t>
  </si>
  <si>
    <t>R00002RPEN</t>
  </si>
  <si>
    <t>Blythe Offshore Wind Turbine WTG 2</t>
  </si>
  <si>
    <t>R00001RPEN</t>
  </si>
  <si>
    <t>Blyth Offshore Wind Farm</t>
  </si>
  <si>
    <t>Included in sample?</t>
  </si>
  <si>
    <t>Sum</t>
  </si>
  <si>
    <t>Cap of included generators</t>
  </si>
  <si>
    <t>GW</t>
  </si>
  <si>
    <t>HOWBO</t>
  </si>
  <si>
    <t>HOWAO</t>
  </si>
  <si>
    <t>LARYO</t>
  </si>
  <si>
    <t>BEATO</t>
  </si>
  <si>
    <t>Cable out of action from 2020</t>
  </si>
  <si>
    <t>Total nameplate generation cap.</t>
  </si>
  <si>
    <t>Mostly missing, only some of 2023 present</t>
  </si>
  <si>
    <t>% obtained</t>
  </si>
  <si>
    <t>MOWEO</t>
  </si>
  <si>
    <t>TKNEW/TKNWW</t>
  </si>
  <si>
    <t>BM_UNIT_ID to query</t>
  </si>
  <si>
    <t>EAAO-1/2</t>
  </si>
  <si>
    <t>HMGTO-1</t>
  </si>
  <si>
    <t>2nd unit has no output - has it been renamed?</t>
  </si>
  <si>
    <t>Too recent to bother with yet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</si>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</sst>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.8000000000000007"/>
      <color rgb="FF000000"/>
      <name val="Trebuchet MS"/>
      <family val="2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Trebuchet MS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14" fontId="1" fillId="0" borderId="2" xfId="0" applyNumberFormat="1" applyFont="1" applyBorder="1" applyAlignment="1">
      <alignment horizontal="left" vertical="center" wrapText="1"/>
    </xf>
    <xf numFmtId="10" fontId="1" fillId="0" borderId="2" xfId="0" applyNumberFormat="1" applyFont="1" applyBorder="1" applyAlignment="1">
      <alignment horizontal="right" vertical="center" wrapText="1"/>
    </xf>
    <xf numFmtId="17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3" xfId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0" xfId="0" applyFont="1"/>
    <xf numFmtId="0" fontId="2" fillId="2" borderId="2" xfId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10" fontId="1" fillId="2" borderId="2" xfId="0" applyNumberFormat="1" applyFont="1" applyFill="1" applyBorder="1" applyAlignment="1">
      <alignment horizontal="right" vertical="center" wrapText="1"/>
    </xf>
    <xf numFmtId="17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4" xfId="0" applyBorder="1"/>
    <xf numFmtId="0" fontId="0" fillId="0" borderId="5" xfId="0" applyBorder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ef.org.uk/generators/search.php?TechCode=FW&amp;start=0&amp;dir=asc&amp;order=15" TargetMode="External"/><Relationship Id="rId18" Type="http://schemas.openxmlformats.org/officeDocument/2006/relationships/hyperlink" Target="https://www.ref.org.uk/generators/view.php?rid=TKN" TargetMode="External"/><Relationship Id="rId26" Type="http://schemas.openxmlformats.org/officeDocument/2006/relationships/hyperlink" Target="https://www.ref.org.uk/generators/view.php?rid=R00034RPEN" TargetMode="External"/><Relationship Id="rId39" Type="http://schemas.openxmlformats.org/officeDocument/2006/relationships/hyperlink" Target="https://www.ref.org.uk/generators/view.php?rid=R00020RPEN" TargetMode="External"/><Relationship Id="rId21" Type="http://schemas.openxmlformats.org/officeDocument/2006/relationships/hyperlink" Target="https://www.ref.org.uk/generators/view.php?rid=R00021RPEN" TargetMode="External"/><Relationship Id="rId34" Type="http://schemas.openxmlformats.org/officeDocument/2006/relationships/hyperlink" Target="https://www.ref.org.uk/generators/view.php?rid=BUR" TargetMode="External"/><Relationship Id="rId42" Type="http://schemas.openxmlformats.org/officeDocument/2006/relationships/hyperlink" Target="https://www.ref.org.uk/generators/view.php?rid=R00010RPEN" TargetMode="External"/><Relationship Id="rId47" Type="http://schemas.openxmlformats.org/officeDocument/2006/relationships/hyperlink" Target="https://www.ref.org.uk/generators/view.php?rid=R00008RPEN" TargetMode="External"/><Relationship Id="rId50" Type="http://schemas.openxmlformats.org/officeDocument/2006/relationships/hyperlink" Target="https://www.ref.org.uk/generators/view.php?rid=R00013RPEN" TargetMode="External"/><Relationship Id="rId55" Type="http://schemas.openxmlformats.org/officeDocument/2006/relationships/hyperlink" Target="https://www.ref.org.uk/generators/view.php?rid=R00030RPEN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ref.org.uk/generators/search.php?TechCode=FW&amp;start=0&amp;dir=asc&amp;order=9" TargetMode="External"/><Relationship Id="rId2" Type="http://schemas.openxmlformats.org/officeDocument/2006/relationships/hyperlink" Target="https://www.ref.org.uk/generators/search.php?TechCode=FW&amp;start=0&amp;dir=asc&amp;order=4" TargetMode="External"/><Relationship Id="rId16" Type="http://schemas.openxmlformats.org/officeDocument/2006/relationships/hyperlink" Target="https://www.ref.org.uk/generators/view.php?rid=T_SGRWO" TargetMode="External"/><Relationship Id="rId20" Type="http://schemas.openxmlformats.org/officeDocument/2006/relationships/hyperlink" Target="https://www.ref.org.uk/generators/view.php?rid=WAL" TargetMode="External"/><Relationship Id="rId29" Type="http://schemas.openxmlformats.org/officeDocument/2006/relationships/hyperlink" Target="https://www.ref.org.uk/generators/view.php?rid=R00031RPEN" TargetMode="External"/><Relationship Id="rId41" Type="http://schemas.openxmlformats.org/officeDocument/2006/relationships/hyperlink" Target="https://www.ref.org.uk/generators/view.php?rid=R00011RPEN" TargetMode="External"/><Relationship Id="rId54" Type="http://schemas.openxmlformats.org/officeDocument/2006/relationships/hyperlink" Target="https://www.ref.org.uk/generators/view.php?rid=R00003FTSC" TargetMode="External"/><Relationship Id="rId62" Type="http://schemas.openxmlformats.org/officeDocument/2006/relationships/hyperlink" Target="https://www.ref.org.uk/generators/view.php?rid=R00001RPEN" TargetMode="External"/><Relationship Id="rId1" Type="http://schemas.openxmlformats.org/officeDocument/2006/relationships/hyperlink" Target="https://www.ref.org.uk/generators/search.php?TechCode=FW&amp;start=0&amp;dir=asc&amp;order=1" TargetMode="External"/><Relationship Id="rId6" Type="http://schemas.openxmlformats.org/officeDocument/2006/relationships/hyperlink" Target="https://www.ref.org.uk/generators/search.php?TechCode=FW&amp;start=0&amp;dir=asc&amp;order=8" TargetMode="External"/><Relationship Id="rId11" Type="http://schemas.openxmlformats.org/officeDocument/2006/relationships/hyperlink" Target="https://www.ref.org.uk/generators/search.php?TechCode=FW&amp;start=0&amp;dir=asc&amp;order=13" TargetMode="External"/><Relationship Id="rId24" Type="http://schemas.openxmlformats.org/officeDocument/2006/relationships/hyperlink" Target="https://www.ref.org.uk/generators/view.php?rid=R00032RPEN" TargetMode="External"/><Relationship Id="rId32" Type="http://schemas.openxmlformats.org/officeDocument/2006/relationships/hyperlink" Target="https://www.ref.org.uk/generators/view.php?rid=R00015RPEN" TargetMode="External"/><Relationship Id="rId37" Type="http://schemas.openxmlformats.org/officeDocument/2006/relationships/hyperlink" Target="https://www.ref.org.uk/generators/view.php?rid=R00019RPEN" TargetMode="External"/><Relationship Id="rId40" Type="http://schemas.openxmlformats.org/officeDocument/2006/relationships/hyperlink" Target="https://www.ref.org.uk/generators/view.php?rid=R00012RPEN" TargetMode="External"/><Relationship Id="rId45" Type="http://schemas.openxmlformats.org/officeDocument/2006/relationships/hyperlink" Target="https://www.ref.org.uk/generators/view.php?rid=R00002SPSC" TargetMode="External"/><Relationship Id="rId53" Type="http://schemas.openxmlformats.org/officeDocument/2006/relationships/hyperlink" Target="https://www.ref.org.uk/generators/view.php?rid=R00004RPWA" TargetMode="External"/><Relationship Id="rId58" Type="http://schemas.openxmlformats.org/officeDocument/2006/relationships/hyperlink" Target="https://www.ref.org.uk/generators/view.php?rid=R00026RPEN" TargetMode="External"/><Relationship Id="rId5" Type="http://schemas.openxmlformats.org/officeDocument/2006/relationships/hyperlink" Target="https://www.ref.org.uk/generators/search.php?TechCode=FW&amp;start=0&amp;dir=asc&amp;order=7" TargetMode="External"/><Relationship Id="rId15" Type="http://schemas.openxmlformats.org/officeDocument/2006/relationships/hyperlink" Target="https://www.ref.org.uk/generators/view.php?rid=HOR" TargetMode="External"/><Relationship Id="rId23" Type="http://schemas.openxmlformats.org/officeDocument/2006/relationships/hyperlink" Target="https://www.ref.org.uk/generators/view.php?rid=R00007RPWA" TargetMode="External"/><Relationship Id="rId28" Type="http://schemas.openxmlformats.org/officeDocument/2006/relationships/hyperlink" Target="https://www.ref.org.uk/generators/view.php?rid=R00027RPEN" TargetMode="External"/><Relationship Id="rId36" Type="http://schemas.openxmlformats.org/officeDocument/2006/relationships/hyperlink" Target="https://www.ref.org.uk/generators/view.php?rid=R00028RPEN" TargetMode="External"/><Relationship Id="rId49" Type="http://schemas.openxmlformats.org/officeDocument/2006/relationships/hyperlink" Target="https://www.ref.org.uk/generators/view.php?rid=R00007RPEN" TargetMode="External"/><Relationship Id="rId57" Type="http://schemas.openxmlformats.org/officeDocument/2006/relationships/hyperlink" Target="https://www.ref.org.uk/generators/view.php?rid=R00001FTSC" TargetMode="External"/><Relationship Id="rId61" Type="http://schemas.openxmlformats.org/officeDocument/2006/relationships/hyperlink" Target="https://www.ref.org.uk/generators/view.php?rid=R00002RPEN" TargetMode="External"/><Relationship Id="rId10" Type="http://schemas.openxmlformats.org/officeDocument/2006/relationships/hyperlink" Target="https://www.ref.org.uk/generators/search.php?TechCode=FW&amp;start=0&amp;dir=asc&amp;order=12" TargetMode="External"/><Relationship Id="rId19" Type="http://schemas.openxmlformats.org/officeDocument/2006/relationships/hyperlink" Target="https://www.ref.org.uk/generators/view.php?rid=EAS" TargetMode="External"/><Relationship Id="rId31" Type="http://schemas.openxmlformats.org/officeDocument/2006/relationships/hyperlink" Target="https://www.ref.org.uk/generators/view.php?rid=T_DBAWO" TargetMode="External"/><Relationship Id="rId44" Type="http://schemas.openxmlformats.org/officeDocument/2006/relationships/hyperlink" Target="https://www.ref.org.uk/generators/view.php?rid=R00006RPEN" TargetMode="External"/><Relationship Id="rId52" Type="http://schemas.openxmlformats.org/officeDocument/2006/relationships/hyperlink" Target="https://www.ref.org.uk/generators/view.php?rid=R00005RPEN" TargetMode="External"/><Relationship Id="rId60" Type="http://schemas.openxmlformats.org/officeDocument/2006/relationships/hyperlink" Target="https://www.ref.org.uk/generators/view.php?rid=R00004SPSC" TargetMode="External"/><Relationship Id="rId4" Type="http://schemas.openxmlformats.org/officeDocument/2006/relationships/hyperlink" Target="https://www.ref.org.uk/generators/search.php?TechCode=FW&amp;start=0&amp;dir=asc&amp;order=6" TargetMode="External"/><Relationship Id="rId9" Type="http://schemas.openxmlformats.org/officeDocument/2006/relationships/hyperlink" Target="https://www.ref.org.uk/generators/search.php?TechCode=FW&amp;start=0&amp;dir=asc&amp;order=11" TargetMode="External"/><Relationship Id="rId14" Type="http://schemas.openxmlformats.org/officeDocument/2006/relationships/hyperlink" Target="https://www.ref.org.uk/generators/view.php?rid=T_HOWBO" TargetMode="External"/><Relationship Id="rId22" Type="http://schemas.openxmlformats.org/officeDocument/2006/relationships/hyperlink" Target="https://www.ref.org.uk/generators/view.php?rid=BEA" TargetMode="External"/><Relationship Id="rId27" Type="http://schemas.openxmlformats.org/officeDocument/2006/relationships/hyperlink" Target="https://www.ref.org.uk/generators/view.php?rid=DUD" TargetMode="External"/><Relationship Id="rId30" Type="http://schemas.openxmlformats.org/officeDocument/2006/relationships/hyperlink" Target="https://www.ref.org.uk/generators/view.php?rid=R00022RPEN" TargetMode="External"/><Relationship Id="rId35" Type="http://schemas.openxmlformats.org/officeDocument/2006/relationships/hyperlink" Target="https://www.ref.org.uk/generators/view.php?rid=R00029RPEN" TargetMode="External"/><Relationship Id="rId43" Type="http://schemas.openxmlformats.org/officeDocument/2006/relationships/hyperlink" Target="https://www.ref.org.uk/generators/view.php?rid=R00002DTSC" TargetMode="External"/><Relationship Id="rId48" Type="http://schemas.openxmlformats.org/officeDocument/2006/relationships/hyperlink" Target="https://www.ref.org.uk/generators/view.php?rid=R00003SPSC" TargetMode="External"/><Relationship Id="rId56" Type="http://schemas.openxmlformats.org/officeDocument/2006/relationships/hyperlink" Target="https://www.ref.org.uk/generators/view.php?rid=R00033RPEN" TargetMode="External"/><Relationship Id="rId8" Type="http://schemas.openxmlformats.org/officeDocument/2006/relationships/hyperlink" Target="https://www.ref.org.uk/generators/search.php?TechCode=FW&amp;start=0&amp;dir=asc&amp;order=10" TargetMode="External"/><Relationship Id="rId51" Type="http://schemas.openxmlformats.org/officeDocument/2006/relationships/hyperlink" Target="https://www.ref.org.uk/generators/view.php?rid=R00024RPEN" TargetMode="External"/><Relationship Id="rId3" Type="http://schemas.openxmlformats.org/officeDocument/2006/relationships/hyperlink" Target="https://www.ref.org.uk/generators/search.php?TechCode=FW&amp;start=0&amp;dir=asc&amp;order=5" TargetMode="External"/><Relationship Id="rId12" Type="http://schemas.openxmlformats.org/officeDocument/2006/relationships/hyperlink" Target="https://www.ref.org.uk/generators/search.php?TechCode=FW&amp;start=0&amp;dir=asc&amp;order=14" TargetMode="External"/><Relationship Id="rId17" Type="http://schemas.openxmlformats.org/officeDocument/2006/relationships/hyperlink" Target="https://www.ref.org.uk/generators/view.php?rid=T_MOWEO" TargetMode="External"/><Relationship Id="rId25" Type="http://schemas.openxmlformats.org/officeDocument/2006/relationships/hyperlink" Target="https://www.ref.org.uk/generators/view.php?rid=R00014RPEN" TargetMode="External"/><Relationship Id="rId33" Type="http://schemas.openxmlformats.org/officeDocument/2006/relationships/hyperlink" Target="https://www.ref.org.uk/generators/view.php?rid=R00025RPEN" TargetMode="External"/><Relationship Id="rId38" Type="http://schemas.openxmlformats.org/officeDocument/2006/relationships/hyperlink" Target="https://www.ref.org.uk/generators/view.php?rid=R00023RPEN" TargetMode="External"/><Relationship Id="rId46" Type="http://schemas.openxmlformats.org/officeDocument/2006/relationships/hyperlink" Target="https://www.ref.org.uk/generators/view.php?rid=R00005RPWA" TargetMode="External"/><Relationship Id="rId59" Type="http://schemas.openxmlformats.org/officeDocument/2006/relationships/hyperlink" Target="https://www.ref.org.uk/generators/view.php?rid=R00001SP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topLeftCell="A22" workbookViewId="0">
      <selection activeCell="Q23" sqref="Q23"/>
    </sheetView>
  </sheetViews>
  <sheetFormatPr defaultRowHeight="18.75" x14ac:dyDescent="0.3"/>
  <cols>
    <col min="3" max="3" width="21.42578125" style="12" customWidth="1"/>
    <col min="8" max="8" width="12.85546875" customWidth="1"/>
    <col min="9" max="9" width="11.7109375" customWidth="1"/>
    <col min="10" max="10" width="11.5703125" customWidth="1"/>
  </cols>
  <sheetData>
    <row r="1" spans="1:25" ht="45.75" thickBot="1" x14ac:dyDescent="0.3">
      <c r="A1" s="1" t="s">
        <v>0</v>
      </c>
      <c r="B1" s="9" t="s">
        <v>132</v>
      </c>
      <c r="C1" s="10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2" t="s">
        <v>118</v>
      </c>
      <c r="P1" s="23" t="s">
        <v>119</v>
      </c>
      <c r="Q1" s="23" t="s">
        <v>137</v>
      </c>
      <c r="U1" t="s">
        <v>120</v>
      </c>
      <c r="X1">
        <f>SUM(P2:P50)/1000000</f>
        <v>13.25746</v>
      </c>
      <c r="Y1" t="s">
        <v>121</v>
      </c>
    </row>
    <row r="2" spans="1:25" ht="38.25" thickBot="1" x14ac:dyDescent="0.3">
      <c r="A2" s="2" t="s">
        <v>13</v>
      </c>
      <c r="B2" s="2" t="s">
        <v>122</v>
      </c>
      <c r="C2" s="11" t="s">
        <v>14</v>
      </c>
      <c r="D2" s="3" t="s">
        <v>15</v>
      </c>
      <c r="E2" s="4">
        <v>1386000</v>
      </c>
      <c r="F2" s="3" t="s">
        <v>16</v>
      </c>
      <c r="G2" s="3" t="s">
        <v>17</v>
      </c>
      <c r="H2" s="5">
        <v>44580</v>
      </c>
      <c r="I2" s="5">
        <v>44436</v>
      </c>
      <c r="J2" s="6">
        <v>0.39400000000000002</v>
      </c>
      <c r="K2" s="6">
        <v>0.39900000000000002</v>
      </c>
      <c r="L2" s="7">
        <v>45231</v>
      </c>
      <c r="M2" s="4">
        <v>4843180</v>
      </c>
      <c r="N2" s="8"/>
      <c r="O2" t="b">
        <v>1</v>
      </c>
      <c r="P2">
        <f>IF(O2,E2,0)</f>
        <v>1386000</v>
      </c>
      <c r="W2" s="21" t="s">
        <v>127</v>
      </c>
      <c r="X2">
        <f>SUM(E2:E50)/1000000</f>
        <v>15.100334999999999</v>
      </c>
      <c r="Y2" t="s">
        <v>121</v>
      </c>
    </row>
    <row r="3" spans="1:25" ht="30.75" thickBot="1" x14ac:dyDescent="0.3">
      <c r="A3" s="2" t="s">
        <v>18</v>
      </c>
      <c r="B3" s="2" t="s">
        <v>123</v>
      </c>
      <c r="C3" s="11" t="s">
        <v>19</v>
      </c>
      <c r="D3" s="3" t="s">
        <v>15</v>
      </c>
      <c r="E3" s="4">
        <v>1200000</v>
      </c>
      <c r="F3" s="3" t="s">
        <v>16</v>
      </c>
      <c r="G3" s="3" t="s">
        <v>20</v>
      </c>
      <c r="H3" s="5">
        <v>43522</v>
      </c>
      <c r="I3" s="5">
        <v>43587</v>
      </c>
      <c r="J3" s="6">
        <v>0.46400000000000002</v>
      </c>
      <c r="K3" s="6">
        <v>0.45200000000000001</v>
      </c>
      <c r="L3" s="7">
        <v>45231</v>
      </c>
      <c r="M3" s="4">
        <v>4753670</v>
      </c>
      <c r="N3" s="8"/>
      <c r="O3" t="b">
        <v>1</v>
      </c>
      <c r="P3">
        <f t="shared" ref="P3:P50" si="0">IF(O3,E3,0)</f>
        <v>1200000</v>
      </c>
      <c r="W3" t="s">
        <v>129</v>
      </c>
      <c r="X3">
        <f>100*X1/X2</f>
        <v>87.79580055674262</v>
      </c>
    </row>
    <row r="4" spans="1:25" ht="38.25" thickBot="1" x14ac:dyDescent="0.3">
      <c r="A4" s="2" t="s">
        <v>21</v>
      </c>
      <c r="B4" s="2"/>
      <c r="C4" s="11" t="s">
        <v>22</v>
      </c>
      <c r="D4" s="3" t="s">
        <v>23</v>
      </c>
      <c r="E4" s="4">
        <v>1140000</v>
      </c>
      <c r="F4" s="3" t="s">
        <v>16</v>
      </c>
      <c r="G4" s="3" t="s">
        <v>17</v>
      </c>
      <c r="H4" s="5">
        <v>44795</v>
      </c>
      <c r="I4" s="5">
        <v>44795</v>
      </c>
      <c r="J4" s="6">
        <v>0.13300000000000001</v>
      </c>
      <c r="K4" s="6">
        <v>0.14099999999999999</v>
      </c>
      <c r="L4" s="7">
        <v>45231</v>
      </c>
      <c r="M4" s="4">
        <v>1412300</v>
      </c>
      <c r="N4" s="8"/>
      <c r="O4" t="b">
        <v>1</v>
      </c>
      <c r="P4">
        <f t="shared" si="0"/>
        <v>1140000</v>
      </c>
    </row>
    <row r="5" spans="1:25" ht="38.25" thickBot="1" x14ac:dyDescent="0.3">
      <c r="A5" s="2" t="s">
        <v>24</v>
      </c>
      <c r="B5" s="2" t="s">
        <v>130</v>
      </c>
      <c r="C5" s="11" t="s">
        <v>25</v>
      </c>
      <c r="D5" s="3" t="s">
        <v>23</v>
      </c>
      <c r="E5" s="4">
        <v>950000</v>
      </c>
      <c r="F5" s="3" t="s">
        <v>16</v>
      </c>
      <c r="G5" s="3" t="s">
        <v>17</v>
      </c>
      <c r="H5" s="5">
        <v>44369</v>
      </c>
      <c r="I5" s="5">
        <v>44349</v>
      </c>
      <c r="J5" s="6">
        <v>0.29099999999999998</v>
      </c>
      <c r="K5" s="6">
        <v>0.22800000000000001</v>
      </c>
      <c r="L5" s="7">
        <v>45231</v>
      </c>
      <c r="M5" s="4">
        <v>1896080</v>
      </c>
      <c r="N5" s="8"/>
      <c r="O5" t="b">
        <v>1</v>
      </c>
      <c r="P5">
        <f t="shared" si="0"/>
        <v>950000</v>
      </c>
      <c r="X5" s="24"/>
    </row>
    <row r="6" spans="1:25" ht="30.75" thickBot="1" x14ac:dyDescent="0.3">
      <c r="A6" s="2" t="s">
        <v>26</v>
      </c>
      <c r="B6" s="2" t="s">
        <v>131</v>
      </c>
      <c r="C6" s="11" t="s">
        <v>27</v>
      </c>
      <c r="D6" s="3" t="s">
        <v>15</v>
      </c>
      <c r="E6" s="4">
        <v>857250</v>
      </c>
      <c r="F6" s="3" t="s">
        <v>16</v>
      </c>
      <c r="G6" s="3" t="s">
        <v>20</v>
      </c>
      <c r="H6" s="5">
        <v>44260</v>
      </c>
      <c r="I6" s="5">
        <v>44333</v>
      </c>
      <c r="J6" s="6">
        <v>0.33300000000000002</v>
      </c>
      <c r="K6" s="6">
        <v>0.37</v>
      </c>
      <c r="L6" s="7">
        <v>45231</v>
      </c>
      <c r="M6" s="4">
        <v>2258260</v>
      </c>
      <c r="N6" s="8"/>
      <c r="O6" t="b">
        <v>1</v>
      </c>
      <c r="P6">
        <f t="shared" si="0"/>
        <v>857250</v>
      </c>
      <c r="Q6" t="s">
        <v>128</v>
      </c>
    </row>
    <row r="7" spans="1:25" ht="38.25" thickBot="1" x14ac:dyDescent="0.3">
      <c r="A7" s="2" t="s">
        <v>28</v>
      </c>
      <c r="B7" s="2" t="s">
        <v>133</v>
      </c>
      <c r="C7" s="11" t="s">
        <v>29</v>
      </c>
      <c r="D7" s="3" t="s">
        <v>15</v>
      </c>
      <c r="E7" s="4">
        <v>714000</v>
      </c>
      <c r="F7" s="3" t="s">
        <v>16</v>
      </c>
      <c r="G7" s="3" t="s">
        <v>20</v>
      </c>
      <c r="H7" s="5">
        <v>43710</v>
      </c>
      <c r="I7" s="5">
        <v>43768</v>
      </c>
      <c r="J7" s="6">
        <v>0.44</v>
      </c>
      <c r="K7" s="6">
        <v>0.46800000000000003</v>
      </c>
      <c r="L7" s="7">
        <v>45231</v>
      </c>
      <c r="M7" s="4">
        <v>2925790</v>
      </c>
      <c r="N7" s="8"/>
      <c r="O7" t="b">
        <v>1</v>
      </c>
      <c r="P7">
        <f t="shared" si="0"/>
        <v>714000</v>
      </c>
    </row>
    <row r="8" spans="1:25" ht="38.25" thickBot="1" x14ac:dyDescent="0.3">
      <c r="A8" s="2" t="s">
        <v>30</v>
      </c>
      <c r="B8" s="2"/>
      <c r="C8" s="11" t="s">
        <v>31</v>
      </c>
      <c r="D8" s="3" t="s">
        <v>15</v>
      </c>
      <c r="E8" s="4">
        <v>660000</v>
      </c>
      <c r="F8" s="3" t="s">
        <v>16</v>
      </c>
      <c r="G8" s="3" t="s">
        <v>20</v>
      </c>
      <c r="H8" s="5">
        <v>42980</v>
      </c>
      <c r="I8" s="5">
        <v>43088</v>
      </c>
      <c r="J8" s="6">
        <v>0.438</v>
      </c>
      <c r="K8" s="6">
        <v>0.42099999999999999</v>
      </c>
      <c r="L8" s="7">
        <v>45231</v>
      </c>
      <c r="M8" s="4">
        <v>2433440</v>
      </c>
      <c r="N8" s="8"/>
      <c r="O8" t="b">
        <v>1</v>
      </c>
      <c r="P8">
        <f t="shared" si="0"/>
        <v>660000</v>
      </c>
    </row>
    <row r="9" spans="1:25" ht="57" thickBot="1" x14ac:dyDescent="0.3">
      <c r="A9" s="2" t="s">
        <v>32</v>
      </c>
      <c r="B9" s="2" t="s">
        <v>124</v>
      </c>
      <c r="C9" s="11" t="s">
        <v>33</v>
      </c>
      <c r="D9" s="3" t="s">
        <v>15</v>
      </c>
      <c r="E9" s="4">
        <v>630000</v>
      </c>
      <c r="F9" s="3" t="s">
        <v>16</v>
      </c>
      <c r="G9" s="3" t="s">
        <v>34</v>
      </c>
      <c r="H9" s="5">
        <v>41217</v>
      </c>
      <c r="I9" s="5">
        <v>41217</v>
      </c>
      <c r="J9" s="6">
        <v>0.40300000000000002</v>
      </c>
      <c r="K9" s="6">
        <v>0.42099999999999999</v>
      </c>
      <c r="L9" s="7">
        <v>45200</v>
      </c>
      <c r="M9" s="4">
        <v>2325610</v>
      </c>
      <c r="N9" s="4">
        <v>4235720</v>
      </c>
      <c r="O9" t="b">
        <v>1</v>
      </c>
      <c r="P9">
        <f t="shared" si="0"/>
        <v>630000</v>
      </c>
    </row>
    <row r="10" spans="1:25" ht="38.25" thickBot="1" x14ac:dyDescent="0.3">
      <c r="A10" s="2" t="s">
        <v>35</v>
      </c>
      <c r="B10" s="2" t="s">
        <v>125</v>
      </c>
      <c r="C10" s="11" t="s">
        <v>36</v>
      </c>
      <c r="D10" s="3" t="s">
        <v>23</v>
      </c>
      <c r="E10" s="4">
        <v>588000</v>
      </c>
      <c r="F10" s="3" t="s">
        <v>16</v>
      </c>
      <c r="G10" s="3" t="s">
        <v>20</v>
      </c>
      <c r="H10" s="5">
        <v>43299</v>
      </c>
      <c r="I10" s="5">
        <v>43410</v>
      </c>
      <c r="J10" s="6">
        <v>0.38300000000000001</v>
      </c>
      <c r="K10" s="6">
        <v>0.374</v>
      </c>
      <c r="L10" s="7">
        <v>45231</v>
      </c>
      <c r="M10" s="4">
        <v>1925260</v>
      </c>
      <c r="N10" s="8"/>
      <c r="O10" t="b">
        <v>1</v>
      </c>
      <c r="P10">
        <f t="shared" si="0"/>
        <v>588000</v>
      </c>
    </row>
    <row r="11" spans="1:25" ht="30.75" thickBot="1" x14ac:dyDescent="0.3">
      <c r="A11" s="2" t="s">
        <v>37</v>
      </c>
      <c r="B11" s="2"/>
      <c r="C11" s="11" t="s">
        <v>38</v>
      </c>
      <c r="D11" s="3" t="s">
        <v>39</v>
      </c>
      <c r="E11" s="4">
        <v>576000</v>
      </c>
      <c r="F11" s="3" t="s">
        <v>16</v>
      </c>
      <c r="G11" s="3" t="s">
        <v>34</v>
      </c>
      <c r="H11" s="5">
        <v>41547</v>
      </c>
      <c r="I11" s="5">
        <v>41547</v>
      </c>
      <c r="J11" s="6">
        <v>0.315</v>
      </c>
      <c r="K11" s="6">
        <v>0.33500000000000002</v>
      </c>
      <c r="L11" s="7">
        <v>45200</v>
      </c>
      <c r="M11" s="4">
        <v>1688390</v>
      </c>
      <c r="N11" s="4">
        <v>3048830</v>
      </c>
      <c r="O11" t="b">
        <v>1</v>
      </c>
      <c r="P11">
        <f t="shared" si="0"/>
        <v>576000</v>
      </c>
      <c r="Q11" t="s">
        <v>126</v>
      </c>
    </row>
    <row r="12" spans="1:25" ht="30.75" thickBot="1" x14ac:dyDescent="0.3">
      <c r="A12" s="2" t="s">
        <v>40</v>
      </c>
      <c r="B12" s="2"/>
      <c r="C12" s="11" t="s">
        <v>41</v>
      </c>
      <c r="D12" s="3" t="s">
        <v>15</v>
      </c>
      <c r="E12" s="4">
        <v>573300</v>
      </c>
      <c r="F12" s="3" t="s">
        <v>16</v>
      </c>
      <c r="G12" s="3" t="s">
        <v>34</v>
      </c>
      <c r="H12" s="5">
        <v>42894</v>
      </c>
      <c r="I12" s="5">
        <v>42894</v>
      </c>
      <c r="J12" s="6">
        <v>0.43099999999999999</v>
      </c>
      <c r="K12" s="6">
        <v>0.42499999999999999</v>
      </c>
      <c r="L12" s="7">
        <v>45231</v>
      </c>
      <c r="M12" s="4">
        <v>2135910</v>
      </c>
      <c r="N12" s="4">
        <v>3084680</v>
      </c>
      <c r="O12" t="b">
        <v>1</v>
      </c>
      <c r="P12">
        <f t="shared" si="0"/>
        <v>573300</v>
      </c>
    </row>
    <row r="13" spans="1:25" ht="38.25" thickBot="1" x14ac:dyDescent="0.3">
      <c r="A13" s="2" t="s">
        <v>42</v>
      </c>
      <c r="B13" s="2"/>
      <c r="C13" s="11" t="s">
        <v>43</v>
      </c>
      <c r="D13" s="3" t="s">
        <v>15</v>
      </c>
      <c r="E13" s="4">
        <v>504000</v>
      </c>
      <c r="F13" s="3" t="s">
        <v>16</v>
      </c>
      <c r="G13" s="3" t="s">
        <v>34</v>
      </c>
      <c r="H13" s="5">
        <v>40597</v>
      </c>
      <c r="I13" s="5">
        <v>40597</v>
      </c>
      <c r="J13" s="6">
        <v>0.38300000000000001</v>
      </c>
      <c r="K13" s="6">
        <v>0.376</v>
      </c>
      <c r="L13" s="7">
        <v>45231</v>
      </c>
      <c r="M13" s="4">
        <v>1661400</v>
      </c>
      <c r="N13" s="4">
        <v>2558490</v>
      </c>
      <c r="O13" t="b">
        <v>1</v>
      </c>
      <c r="P13">
        <f t="shared" si="0"/>
        <v>504000</v>
      </c>
    </row>
    <row r="14" spans="1:25" ht="30.75" thickBot="1" x14ac:dyDescent="0.3">
      <c r="A14" s="2" t="s">
        <v>44</v>
      </c>
      <c r="B14" s="2"/>
      <c r="C14" s="11" t="s">
        <v>45</v>
      </c>
      <c r="D14" s="3" t="s">
        <v>15</v>
      </c>
      <c r="E14" s="4">
        <v>400200</v>
      </c>
      <c r="F14" s="3" t="s">
        <v>16</v>
      </c>
      <c r="G14" s="3" t="s">
        <v>34</v>
      </c>
      <c r="H14" s="5">
        <v>43065</v>
      </c>
      <c r="I14" s="5">
        <v>43065</v>
      </c>
      <c r="J14" s="6">
        <v>0.376</v>
      </c>
      <c r="K14" s="6">
        <v>0.435</v>
      </c>
      <c r="L14" s="7">
        <v>45200</v>
      </c>
      <c r="M14" s="4">
        <v>1524960</v>
      </c>
      <c r="N14" s="4">
        <v>2496230</v>
      </c>
      <c r="O14" t="b">
        <v>1</v>
      </c>
      <c r="P14">
        <f t="shared" si="0"/>
        <v>400200</v>
      </c>
    </row>
    <row r="15" spans="1:25" ht="38.25" thickBot="1" x14ac:dyDescent="0.3">
      <c r="A15" s="2" t="s">
        <v>46</v>
      </c>
      <c r="B15" s="2"/>
      <c r="C15" s="11" t="s">
        <v>47</v>
      </c>
      <c r="D15" s="3" t="s">
        <v>15</v>
      </c>
      <c r="E15" s="4">
        <v>394910</v>
      </c>
      <c r="F15" s="3" t="s">
        <v>16</v>
      </c>
      <c r="G15" s="3" t="s">
        <v>20</v>
      </c>
      <c r="H15" s="5">
        <v>42997</v>
      </c>
      <c r="I15" s="5">
        <v>42852</v>
      </c>
      <c r="J15" s="6">
        <v>0.46300000000000002</v>
      </c>
      <c r="K15" s="6">
        <v>0.44500000000000001</v>
      </c>
      <c r="L15" s="7">
        <v>45231</v>
      </c>
      <c r="M15" s="4">
        <v>1541240</v>
      </c>
      <c r="N15" s="8"/>
      <c r="O15" t="b">
        <v>1</v>
      </c>
      <c r="P15">
        <f t="shared" si="0"/>
        <v>394910</v>
      </c>
    </row>
    <row r="16" spans="1:25" ht="57" thickBot="1" x14ac:dyDescent="0.3">
      <c r="A16" s="13" t="s">
        <v>48</v>
      </c>
      <c r="B16" s="13"/>
      <c r="C16" s="14" t="s">
        <v>49</v>
      </c>
      <c r="D16" s="15" t="s">
        <v>15</v>
      </c>
      <c r="E16" s="16">
        <v>388800</v>
      </c>
      <c r="F16" s="15" t="s">
        <v>16</v>
      </c>
      <c r="G16" s="15" t="s">
        <v>34</v>
      </c>
      <c r="H16" s="17">
        <v>41680</v>
      </c>
      <c r="I16" s="17">
        <v>41680</v>
      </c>
      <c r="J16" s="18">
        <v>0.437</v>
      </c>
      <c r="K16" s="18">
        <v>0.432</v>
      </c>
      <c r="L16" s="19">
        <v>45200</v>
      </c>
      <c r="M16" s="16">
        <v>1470740</v>
      </c>
      <c r="N16" s="16">
        <v>2635010</v>
      </c>
      <c r="O16" t="b">
        <v>1</v>
      </c>
      <c r="P16">
        <f t="shared" si="0"/>
        <v>388800</v>
      </c>
    </row>
    <row r="17" spans="1:19" ht="38.25" thickBot="1" x14ac:dyDescent="0.3">
      <c r="A17" s="13" t="s">
        <v>50</v>
      </c>
      <c r="B17" s="13"/>
      <c r="C17" s="14" t="s">
        <v>51</v>
      </c>
      <c r="D17" s="15" t="s">
        <v>15</v>
      </c>
      <c r="E17" s="16">
        <v>352800</v>
      </c>
      <c r="F17" s="15" t="s">
        <v>16</v>
      </c>
      <c r="G17" s="15" t="s">
        <v>34</v>
      </c>
      <c r="H17" s="17">
        <v>43044</v>
      </c>
      <c r="I17" s="17">
        <v>43044</v>
      </c>
      <c r="J17" s="18">
        <v>0.46700000000000003</v>
      </c>
      <c r="K17" s="18">
        <v>0.47199999999999998</v>
      </c>
      <c r="L17" s="19">
        <v>45200</v>
      </c>
      <c r="M17" s="16">
        <v>1458230</v>
      </c>
      <c r="N17" s="16">
        <v>2372140</v>
      </c>
      <c r="O17" t="b">
        <v>1</v>
      </c>
      <c r="P17">
        <f t="shared" si="0"/>
        <v>352800</v>
      </c>
    </row>
    <row r="18" spans="1:19" ht="38.25" thickBot="1" x14ac:dyDescent="0.3">
      <c r="A18" s="13" t="s">
        <v>52</v>
      </c>
      <c r="B18" s="13"/>
      <c r="C18" s="14" t="s">
        <v>53</v>
      </c>
      <c r="D18" s="15" t="s">
        <v>15</v>
      </c>
      <c r="E18" s="16">
        <v>317000</v>
      </c>
      <c r="F18" s="15" t="s">
        <v>16</v>
      </c>
      <c r="G18" s="15" t="s">
        <v>34</v>
      </c>
      <c r="H18" s="17">
        <v>40788</v>
      </c>
      <c r="I18" s="17">
        <v>40788</v>
      </c>
      <c r="J18" s="18">
        <v>0.374</v>
      </c>
      <c r="K18" s="18">
        <v>0.313</v>
      </c>
      <c r="L18" s="19">
        <v>45231</v>
      </c>
      <c r="M18" s="16">
        <v>867877</v>
      </c>
      <c r="N18" s="16">
        <v>1441850</v>
      </c>
      <c r="O18" t="b">
        <v>1</v>
      </c>
      <c r="P18">
        <f t="shared" si="0"/>
        <v>317000</v>
      </c>
    </row>
    <row r="19" spans="1:19" ht="30.75" thickBot="1" x14ac:dyDescent="0.3">
      <c r="A19" s="13" t="s">
        <v>54</v>
      </c>
      <c r="B19" s="13"/>
      <c r="C19" s="14" t="s">
        <v>55</v>
      </c>
      <c r="D19" s="15" t="s">
        <v>15</v>
      </c>
      <c r="E19" s="16">
        <v>302400</v>
      </c>
      <c r="F19" s="15" t="s">
        <v>16</v>
      </c>
      <c r="G19" s="15" t="s">
        <v>17</v>
      </c>
      <c r="H19" s="15"/>
      <c r="I19" s="17">
        <v>45206</v>
      </c>
      <c r="J19" s="20"/>
      <c r="K19" s="20"/>
      <c r="L19" s="19">
        <v>45231</v>
      </c>
      <c r="M19" s="16">
        <v>1201</v>
      </c>
      <c r="N19" s="20"/>
      <c r="P19">
        <f t="shared" si="0"/>
        <v>0</v>
      </c>
      <c r="Q19" t="s">
        <v>136</v>
      </c>
    </row>
    <row r="20" spans="1:19" ht="38.25" thickBot="1" x14ac:dyDescent="0.3">
      <c r="A20" s="13" t="s">
        <v>56</v>
      </c>
      <c r="B20" s="13"/>
      <c r="C20" s="14" t="s">
        <v>57</v>
      </c>
      <c r="D20" s="15" t="s">
        <v>15</v>
      </c>
      <c r="E20" s="16">
        <v>300000</v>
      </c>
      <c r="F20" s="15" t="s">
        <v>16</v>
      </c>
      <c r="G20" s="15" t="s">
        <v>34</v>
      </c>
      <c r="H20" s="17">
        <v>40361</v>
      </c>
      <c r="I20" s="17">
        <v>40361</v>
      </c>
      <c r="J20" s="18">
        <v>0.33300000000000002</v>
      </c>
      <c r="K20" s="18">
        <v>0.34899999999999998</v>
      </c>
      <c r="L20" s="19">
        <v>45200</v>
      </c>
      <c r="M20" s="16">
        <v>916400</v>
      </c>
      <c r="N20" s="16">
        <v>1675140</v>
      </c>
      <c r="O20" t="b">
        <v>1</v>
      </c>
      <c r="P20">
        <f t="shared" si="0"/>
        <v>300000</v>
      </c>
    </row>
    <row r="21" spans="1:19" ht="30.75" thickBot="1" x14ac:dyDescent="0.3">
      <c r="A21" s="13" t="s">
        <v>58</v>
      </c>
      <c r="B21" s="13"/>
      <c r="C21" s="14" t="s">
        <v>59</v>
      </c>
      <c r="D21" s="15" t="s">
        <v>15</v>
      </c>
      <c r="E21" s="16">
        <v>270000</v>
      </c>
      <c r="F21" s="15" t="s">
        <v>16</v>
      </c>
      <c r="G21" s="15" t="s">
        <v>34</v>
      </c>
      <c r="H21" s="17">
        <v>41148</v>
      </c>
      <c r="I21" s="17">
        <v>41148</v>
      </c>
      <c r="J21" s="18">
        <v>0.40100000000000002</v>
      </c>
      <c r="K21" s="18">
        <v>0.40100000000000002</v>
      </c>
      <c r="L21" s="19">
        <v>45231</v>
      </c>
      <c r="M21" s="16">
        <v>949170</v>
      </c>
      <c r="N21" s="16">
        <v>1542240</v>
      </c>
      <c r="O21" t="b">
        <v>1</v>
      </c>
      <c r="P21">
        <f t="shared" si="0"/>
        <v>270000</v>
      </c>
    </row>
    <row r="22" spans="1:19" ht="38.25" thickBot="1" x14ac:dyDescent="0.3">
      <c r="A22" s="13" t="s">
        <v>60</v>
      </c>
      <c r="B22" s="13"/>
      <c r="C22" s="14" t="s">
        <v>61</v>
      </c>
      <c r="D22" s="15" t="s">
        <v>15</v>
      </c>
      <c r="E22" s="16">
        <v>259000</v>
      </c>
      <c r="F22" s="15" t="s">
        <v>16</v>
      </c>
      <c r="G22" s="15" t="s">
        <v>20</v>
      </c>
      <c r="H22" s="17">
        <v>42686</v>
      </c>
      <c r="I22" s="17">
        <v>42836</v>
      </c>
      <c r="J22" s="18">
        <v>0.38700000000000001</v>
      </c>
      <c r="K22" s="18">
        <v>0.36199999999999999</v>
      </c>
      <c r="L22" s="19">
        <v>45231</v>
      </c>
      <c r="M22" s="16">
        <v>818738</v>
      </c>
      <c r="N22" s="20"/>
      <c r="O22" t="b">
        <v>1</v>
      </c>
      <c r="P22">
        <f t="shared" si="0"/>
        <v>259000</v>
      </c>
    </row>
    <row r="23" spans="1:19" ht="75.75" thickBot="1" x14ac:dyDescent="0.3">
      <c r="A23" s="13" t="s">
        <v>62</v>
      </c>
      <c r="B23" s="13" t="s">
        <v>134</v>
      </c>
      <c r="C23" s="14" t="s">
        <v>63</v>
      </c>
      <c r="D23" s="15" t="s">
        <v>15</v>
      </c>
      <c r="E23" s="16">
        <v>219000</v>
      </c>
      <c r="F23" s="15" t="s">
        <v>16</v>
      </c>
      <c r="G23" s="15" t="s">
        <v>34</v>
      </c>
      <c r="H23" s="17">
        <v>42065</v>
      </c>
      <c r="I23" s="17">
        <v>42065</v>
      </c>
      <c r="J23" s="18">
        <v>0.42899999999999999</v>
      </c>
      <c r="K23" s="18">
        <v>0.40699999999999997</v>
      </c>
      <c r="L23" s="19">
        <v>45200</v>
      </c>
      <c r="M23" s="16">
        <v>781176</v>
      </c>
      <c r="N23" s="16">
        <v>1429240</v>
      </c>
      <c r="O23" t="b">
        <v>1</v>
      </c>
      <c r="P23">
        <f t="shared" si="0"/>
        <v>219000</v>
      </c>
      <c r="Q23" t="s">
        <v>135</v>
      </c>
    </row>
    <row r="24" spans="1:19" ht="38.25" thickBot="1" x14ac:dyDescent="0.3">
      <c r="A24" s="2" t="s">
        <v>64</v>
      </c>
      <c r="B24" s="2"/>
      <c r="C24" s="11" t="s">
        <v>65</v>
      </c>
      <c r="D24" s="3" t="s">
        <v>15</v>
      </c>
      <c r="E24" s="4">
        <v>210000</v>
      </c>
      <c r="F24" s="3" t="s">
        <v>16</v>
      </c>
      <c r="G24" s="3" t="s">
        <v>34</v>
      </c>
      <c r="H24" s="5">
        <v>41894</v>
      </c>
      <c r="I24" s="5">
        <v>41894</v>
      </c>
      <c r="J24" s="6">
        <v>0.46100000000000002</v>
      </c>
      <c r="K24" s="6">
        <v>0.42799999999999999</v>
      </c>
      <c r="L24" s="7">
        <v>45231</v>
      </c>
      <c r="M24" s="4">
        <v>786526</v>
      </c>
      <c r="N24" s="4">
        <v>1285270</v>
      </c>
      <c r="O24" t="b">
        <v>1</v>
      </c>
      <c r="P24">
        <f t="shared" si="0"/>
        <v>210000</v>
      </c>
    </row>
    <row r="25" spans="1:19" ht="38.25" thickBot="1" x14ac:dyDescent="0.3">
      <c r="A25" s="2" t="s">
        <v>66</v>
      </c>
      <c r="B25" s="2"/>
      <c r="C25" s="11" t="s">
        <v>67</v>
      </c>
      <c r="D25" s="3" t="s">
        <v>15</v>
      </c>
      <c r="E25" s="4">
        <v>183600</v>
      </c>
      <c r="F25" s="3" t="s">
        <v>16</v>
      </c>
      <c r="G25" s="3" t="s">
        <v>34</v>
      </c>
      <c r="H25" s="5">
        <v>40581</v>
      </c>
      <c r="I25" s="5">
        <v>40556</v>
      </c>
      <c r="J25" s="6">
        <v>0.39100000000000001</v>
      </c>
      <c r="K25" s="6">
        <v>0.314</v>
      </c>
      <c r="L25" s="7">
        <v>45231</v>
      </c>
      <c r="M25" s="4">
        <v>504792</v>
      </c>
      <c r="N25" s="4">
        <v>882540</v>
      </c>
      <c r="O25" t="b">
        <v>1</v>
      </c>
      <c r="P25">
        <f t="shared" si="0"/>
        <v>183600</v>
      </c>
    </row>
    <row r="26" spans="1:19" ht="38.25" thickBot="1" x14ac:dyDescent="0.3">
      <c r="A26" s="2" t="s">
        <v>68</v>
      </c>
      <c r="B26" s="2"/>
      <c r="C26" s="11" t="s">
        <v>69</v>
      </c>
      <c r="D26" s="3" t="s">
        <v>15</v>
      </c>
      <c r="E26" s="4">
        <v>183600</v>
      </c>
      <c r="F26" s="3" t="s">
        <v>16</v>
      </c>
      <c r="G26" s="3" t="s">
        <v>34</v>
      </c>
      <c r="H26" s="5">
        <v>40780</v>
      </c>
      <c r="I26" s="5">
        <v>40780</v>
      </c>
      <c r="J26" s="6">
        <v>0.44600000000000001</v>
      </c>
      <c r="K26" s="6">
        <v>0.38100000000000001</v>
      </c>
      <c r="L26" s="7">
        <v>45231</v>
      </c>
      <c r="M26" s="4">
        <v>612612</v>
      </c>
      <c r="N26" s="4">
        <v>1081150</v>
      </c>
      <c r="O26" t="b">
        <v>1</v>
      </c>
      <c r="P26">
        <f t="shared" si="0"/>
        <v>183600</v>
      </c>
    </row>
    <row r="27" spans="1:19" ht="38.25" thickBot="1" x14ac:dyDescent="0.3">
      <c r="A27" s="2" t="s">
        <v>70</v>
      </c>
      <c r="B27" s="2"/>
      <c r="C27" s="11" t="s">
        <v>71</v>
      </c>
      <c r="D27" s="3" t="s">
        <v>15</v>
      </c>
      <c r="E27" s="4">
        <v>150000</v>
      </c>
      <c r="F27" s="3" t="s">
        <v>16</v>
      </c>
      <c r="G27" s="3" t="s">
        <v>34</v>
      </c>
      <c r="H27" s="5">
        <v>40773</v>
      </c>
      <c r="I27" s="5">
        <v>40773</v>
      </c>
      <c r="J27" s="6">
        <v>0.35499999999999998</v>
      </c>
      <c r="K27" s="6">
        <v>0.26600000000000001</v>
      </c>
      <c r="L27" s="7">
        <v>45200</v>
      </c>
      <c r="M27" s="4">
        <v>350064</v>
      </c>
      <c r="N27" s="4">
        <v>613650</v>
      </c>
      <c r="P27">
        <f t="shared" si="0"/>
        <v>0</v>
      </c>
    </row>
    <row r="28" spans="1:19" ht="38.25" thickBot="1" x14ac:dyDescent="0.3">
      <c r="A28" s="2" t="s">
        <v>72</v>
      </c>
      <c r="B28" s="2"/>
      <c r="C28" s="11" t="s">
        <v>73</v>
      </c>
      <c r="D28" s="3" t="s">
        <v>15</v>
      </c>
      <c r="E28" s="4">
        <v>108000</v>
      </c>
      <c r="F28" s="3" t="s">
        <v>16</v>
      </c>
      <c r="G28" s="3" t="s">
        <v>34</v>
      </c>
      <c r="H28" s="5">
        <v>40018</v>
      </c>
      <c r="I28" s="5">
        <v>40018</v>
      </c>
      <c r="J28" s="6">
        <v>0.34399999999999997</v>
      </c>
      <c r="K28" s="6">
        <v>0.36</v>
      </c>
      <c r="L28" s="7">
        <v>45231</v>
      </c>
      <c r="M28" s="4">
        <v>340381</v>
      </c>
      <c r="N28" s="4">
        <v>413291</v>
      </c>
      <c r="P28">
        <f t="shared" si="0"/>
        <v>0</v>
      </c>
    </row>
    <row r="29" spans="1:19" ht="57" thickBot="1" x14ac:dyDescent="0.3">
      <c r="A29" s="2" t="s">
        <v>74</v>
      </c>
      <c r="B29" s="2"/>
      <c r="C29" s="11" t="s">
        <v>75</v>
      </c>
      <c r="D29" s="3" t="s">
        <v>15</v>
      </c>
      <c r="E29" s="4">
        <v>97200</v>
      </c>
      <c r="F29" s="3" t="s">
        <v>16</v>
      </c>
      <c r="G29" s="3" t="s">
        <v>34</v>
      </c>
      <c r="H29" s="5">
        <v>39558</v>
      </c>
      <c r="I29" s="5">
        <v>39558</v>
      </c>
      <c r="J29" s="6">
        <v>0.34899999999999998</v>
      </c>
      <c r="K29" s="6">
        <v>0.34</v>
      </c>
      <c r="L29" s="7">
        <v>45231</v>
      </c>
      <c r="M29" s="4">
        <v>289499</v>
      </c>
      <c r="N29" s="4">
        <v>346089</v>
      </c>
      <c r="P29">
        <f t="shared" si="0"/>
        <v>0</v>
      </c>
      <c r="S29" s="24"/>
    </row>
    <row r="30" spans="1:19" ht="38.25" thickBot="1" x14ac:dyDescent="0.3">
      <c r="A30" s="2" t="s">
        <v>76</v>
      </c>
      <c r="B30" s="2"/>
      <c r="C30" s="11" t="s">
        <v>77</v>
      </c>
      <c r="D30" s="3" t="s">
        <v>15</v>
      </c>
      <c r="E30" s="4">
        <v>97200</v>
      </c>
      <c r="F30" s="3" t="s">
        <v>16</v>
      </c>
      <c r="G30" s="3" t="s">
        <v>34</v>
      </c>
      <c r="H30" s="5">
        <v>39535</v>
      </c>
      <c r="I30" s="5">
        <v>39522</v>
      </c>
      <c r="J30" s="6">
        <v>0.34499999999999997</v>
      </c>
      <c r="K30" s="6">
        <v>0.33100000000000002</v>
      </c>
      <c r="L30" s="7">
        <v>45231</v>
      </c>
      <c r="M30" s="4">
        <v>281992</v>
      </c>
      <c r="N30" s="4">
        <v>335219</v>
      </c>
      <c r="P30">
        <f t="shared" si="0"/>
        <v>0</v>
      </c>
    </row>
    <row r="31" spans="1:19" ht="75.75" thickBot="1" x14ac:dyDescent="0.3">
      <c r="A31" s="2" t="s">
        <v>78</v>
      </c>
      <c r="B31" s="2"/>
      <c r="C31" s="11" t="s">
        <v>79</v>
      </c>
      <c r="D31" s="3" t="s">
        <v>23</v>
      </c>
      <c r="E31" s="4">
        <v>96800</v>
      </c>
      <c r="F31" s="3" t="s">
        <v>16</v>
      </c>
      <c r="G31" s="3" t="s">
        <v>34</v>
      </c>
      <c r="H31" s="5">
        <v>43283</v>
      </c>
      <c r="I31" s="5">
        <v>43283</v>
      </c>
      <c r="J31" s="6">
        <v>0.36</v>
      </c>
      <c r="K31" s="6">
        <v>0.35399999999999998</v>
      </c>
      <c r="L31" s="7">
        <v>45139</v>
      </c>
      <c r="M31" s="4">
        <v>300469</v>
      </c>
      <c r="N31" s="4">
        <v>751172</v>
      </c>
      <c r="P31">
        <f t="shared" si="0"/>
        <v>0</v>
      </c>
    </row>
    <row r="32" spans="1:19" ht="38.25" thickBot="1" x14ac:dyDescent="0.3">
      <c r="A32" s="2" t="s">
        <v>80</v>
      </c>
      <c r="B32" s="2"/>
      <c r="C32" s="11" t="s">
        <v>81</v>
      </c>
      <c r="D32" s="3" t="s">
        <v>15</v>
      </c>
      <c r="E32" s="4">
        <v>90000</v>
      </c>
      <c r="F32" s="3" t="s">
        <v>16</v>
      </c>
      <c r="G32" s="3" t="s">
        <v>34</v>
      </c>
      <c r="H32" s="5">
        <v>38565</v>
      </c>
      <c r="I32" s="5">
        <v>38565</v>
      </c>
      <c r="J32" s="6">
        <v>0.307</v>
      </c>
      <c r="K32" s="6">
        <v>0.308</v>
      </c>
      <c r="L32" s="7">
        <v>45200</v>
      </c>
      <c r="M32" s="4">
        <v>242902</v>
      </c>
      <c r="N32" s="4">
        <v>224047</v>
      </c>
      <c r="P32">
        <f t="shared" si="0"/>
        <v>0</v>
      </c>
    </row>
    <row r="33" spans="1:16" ht="57" thickBot="1" x14ac:dyDescent="0.3">
      <c r="A33" s="2" t="s">
        <v>82</v>
      </c>
      <c r="B33" s="2"/>
      <c r="C33" s="11" t="s">
        <v>83</v>
      </c>
      <c r="D33" s="3" t="s">
        <v>23</v>
      </c>
      <c r="E33" s="4">
        <v>90000</v>
      </c>
      <c r="F33" s="3" t="s">
        <v>16</v>
      </c>
      <c r="G33" s="3" t="s">
        <v>34</v>
      </c>
      <c r="H33" s="5">
        <v>40012</v>
      </c>
      <c r="I33" s="5">
        <v>40012</v>
      </c>
      <c r="J33" s="6">
        <v>0.35599999999999998</v>
      </c>
      <c r="K33" s="6">
        <v>0.36</v>
      </c>
      <c r="L33" s="7">
        <v>45200</v>
      </c>
      <c r="M33" s="4">
        <v>284240</v>
      </c>
      <c r="N33" s="4">
        <v>382639</v>
      </c>
      <c r="P33">
        <f t="shared" si="0"/>
        <v>0</v>
      </c>
    </row>
    <row r="34" spans="1:16" ht="38.25" thickBot="1" x14ac:dyDescent="0.3">
      <c r="A34" s="2" t="s">
        <v>84</v>
      </c>
      <c r="B34" s="2"/>
      <c r="C34" s="11" t="s">
        <v>85</v>
      </c>
      <c r="D34" s="3" t="s">
        <v>39</v>
      </c>
      <c r="E34" s="4">
        <v>90000</v>
      </c>
      <c r="F34" s="3" t="s">
        <v>16</v>
      </c>
      <c r="G34" s="3" t="s">
        <v>34</v>
      </c>
      <c r="H34" s="5">
        <v>40009</v>
      </c>
      <c r="I34" s="5">
        <v>40009</v>
      </c>
      <c r="J34" s="6">
        <v>0.34599999999999997</v>
      </c>
      <c r="K34" s="6">
        <v>0.33500000000000002</v>
      </c>
      <c r="L34" s="7">
        <v>45170</v>
      </c>
      <c r="M34" s="4">
        <v>264225</v>
      </c>
      <c r="N34" s="4">
        <v>396317</v>
      </c>
      <c r="P34">
        <f t="shared" si="0"/>
        <v>0</v>
      </c>
    </row>
    <row r="35" spans="1:16" ht="57" thickBot="1" x14ac:dyDescent="0.3">
      <c r="A35" s="2" t="s">
        <v>86</v>
      </c>
      <c r="B35" s="2"/>
      <c r="C35" s="11" t="s">
        <v>87</v>
      </c>
      <c r="D35" s="3" t="s">
        <v>15</v>
      </c>
      <c r="E35" s="4">
        <v>90000</v>
      </c>
      <c r="F35" s="3" t="s">
        <v>16</v>
      </c>
      <c r="G35" s="3" t="s">
        <v>34</v>
      </c>
      <c r="H35" s="5">
        <v>39264</v>
      </c>
      <c r="I35" s="5">
        <v>39264</v>
      </c>
      <c r="J35" s="6">
        <v>0.33200000000000002</v>
      </c>
      <c r="K35" s="6">
        <v>0.26200000000000001</v>
      </c>
      <c r="L35" s="7">
        <v>45200</v>
      </c>
      <c r="M35" s="4">
        <v>206547</v>
      </c>
      <c r="N35" s="4">
        <v>307055</v>
      </c>
      <c r="P35">
        <f t="shared" si="0"/>
        <v>0</v>
      </c>
    </row>
    <row r="36" spans="1:16" ht="57" thickBot="1" x14ac:dyDescent="0.3">
      <c r="A36" s="2" t="s">
        <v>88</v>
      </c>
      <c r="B36" s="2"/>
      <c r="C36" s="11" t="s">
        <v>89</v>
      </c>
      <c r="D36" s="3" t="s">
        <v>23</v>
      </c>
      <c r="E36" s="4">
        <v>90000</v>
      </c>
      <c r="F36" s="3" t="s">
        <v>16</v>
      </c>
      <c r="G36" s="3" t="s">
        <v>34</v>
      </c>
      <c r="H36" s="5">
        <v>40288</v>
      </c>
      <c r="I36" s="5">
        <v>40288</v>
      </c>
      <c r="J36" s="6">
        <v>0.32500000000000001</v>
      </c>
      <c r="K36" s="6">
        <v>0.32100000000000001</v>
      </c>
      <c r="L36" s="7">
        <v>45200</v>
      </c>
      <c r="M36" s="4">
        <v>253048</v>
      </c>
      <c r="N36" s="4">
        <v>451568</v>
      </c>
      <c r="P36">
        <f t="shared" si="0"/>
        <v>0</v>
      </c>
    </row>
    <row r="37" spans="1:16" ht="38.25" thickBot="1" x14ac:dyDescent="0.3">
      <c r="A37" s="2" t="s">
        <v>90</v>
      </c>
      <c r="B37" s="2"/>
      <c r="C37" s="11" t="s">
        <v>91</v>
      </c>
      <c r="D37" s="3" t="s">
        <v>15</v>
      </c>
      <c r="E37" s="4">
        <v>90000</v>
      </c>
      <c r="F37" s="3" t="s">
        <v>16</v>
      </c>
      <c r="G37" s="3" t="s">
        <v>34</v>
      </c>
      <c r="H37" s="5">
        <v>38718</v>
      </c>
      <c r="I37" s="5">
        <v>38718</v>
      </c>
      <c r="J37" s="6">
        <v>0.34899999999999998</v>
      </c>
      <c r="K37" s="6">
        <v>0.29499999999999998</v>
      </c>
      <c r="L37" s="7">
        <v>45231</v>
      </c>
      <c r="M37" s="4">
        <v>232489</v>
      </c>
      <c r="N37" s="4">
        <v>183252</v>
      </c>
      <c r="P37">
        <f t="shared" si="0"/>
        <v>0</v>
      </c>
    </row>
    <row r="38" spans="1:16" ht="38.25" thickBot="1" x14ac:dyDescent="0.3">
      <c r="A38" s="2" t="s">
        <v>92</v>
      </c>
      <c r="B38" s="2"/>
      <c r="C38" s="11" t="s">
        <v>93</v>
      </c>
      <c r="D38" s="3" t="s">
        <v>15</v>
      </c>
      <c r="E38" s="4">
        <v>64800</v>
      </c>
      <c r="F38" s="3" t="s">
        <v>16</v>
      </c>
      <c r="G38" s="3" t="s">
        <v>34</v>
      </c>
      <c r="H38" s="5">
        <v>40018</v>
      </c>
      <c r="I38" s="5">
        <v>40018</v>
      </c>
      <c r="J38" s="6">
        <v>0.36199999999999999</v>
      </c>
      <c r="K38" s="6">
        <v>0.35599999999999998</v>
      </c>
      <c r="L38" s="7">
        <v>45231</v>
      </c>
      <c r="M38" s="4">
        <v>202220</v>
      </c>
      <c r="N38" s="4">
        <v>245384</v>
      </c>
      <c r="P38">
        <f t="shared" si="0"/>
        <v>0</v>
      </c>
    </row>
    <row r="39" spans="1:16" ht="38.25" thickBot="1" x14ac:dyDescent="0.3">
      <c r="A39" s="2" t="s">
        <v>94</v>
      </c>
      <c r="B39" s="2"/>
      <c r="C39" s="11" t="s">
        <v>95</v>
      </c>
      <c r="D39" s="3" t="s">
        <v>15</v>
      </c>
      <c r="E39" s="4">
        <v>62100</v>
      </c>
      <c r="F39" s="3" t="s">
        <v>16</v>
      </c>
      <c r="G39" s="3" t="s">
        <v>34</v>
      </c>
      <c r="H39" s="5">
        <v>41460</v>
      </c>
      <c r="I39" s="5">
        <v>41460</v>
      </c>
      <c r="J39" s="6">
        <v>0.34699999999999998</v>
      </c>
      <c r="K39" s="6">
        <v>0.33900000000000002</v>
      </c>
      <c r="L39" s="7">
        <v>45200</v>
      </c>
      <c r="M39" s="4">
        <v>184148</v>
      </c>
      <c r="N39" s="4">
        <v>333383</v>
      </c>
      <c r="P39">
        <f t="shared" si="0"/>
        <v>0</v>
      </c>
    </row>
    <row r="40" spans="1:16" ht="38.25" thickBot="1" x14ac:dyDescent="0.3">
      <c r="A40" s="2" t="s">
        <v>96</v>
      </c>
      <c r="B40" s="2"/>
      <c r="C40" s="11" t="s">
        <v>97</v>
      </c>
      <c r="D40" s="3" t="s">
        <v>15</v>
      </c>
      <c r="E40" s="4">
        <v>60000</v>
      </c>
      <c r="F40" s="3" t="s">
        <v>16</v>
      </c>
      <c r="G40" s="3" t="s">
        <v>34</v>
      </c>
      <c r="H40" s="5">
        <v>38108</v>
      </c>
      <c r="I40" s="5">
        <v>38108</v>
      </c>
      <c r="J40" s="6">
        <v>0.313</v>
      </c>
      <c r="K40" s="6">
        <v>0.30599999999999999</v>
      </c>
      <c r="L40" s="7">
        <v>45200</v>
      </c>
      <c r="M40" s="4">
        <v>161083</v>
      </c>
      <c r="N40" s="4">
        <v>149354</v>
      </c>
      <c r="P40">
        <f t="shared" si="0"/>
        <v>0</v>
      </c>
    </row>
    <row r="41" spans="1:16" ht="57" thickBot="1" x14ac:dyDescent="0.3">
      <c r="A41" s="2" t="s">
        <v>98</v>
      </c>
      <c r="B41" s="2"/>
      <c r="C41" s="11" t="s">
        <v>99</v>
      </c>
      <c r="D41" s="3" t="s">
        <v>39</v>
      </c>
      <c r="E41" s="4">
        <v>60000</v>
      </c>
      <c r="F41" s="3" t="s">
        <v>16</v>
      </c>
      <c r="G41" s="3" t="s">
        <v>34</v>
      </c>
      <c r="H41" s="5">
        <v>37926</v>
      </c>
      <c r="I41" s="5">
        <v>37922</v>
      </c>
      <c r="J41" s="6">
        <v>0.33500000000000002</v>
      </c>
      <c r="K41" s="6">
        <v>0.30399999999999999</v>
      </c>
      <c r="L41" s="7">
        <v>45200</v>
      </c>
      <c r="M41" s="4">
        <v>159579</v>
      </c>
      <c r="N41" s="4">
        <v>144231</v>
      </c>
      <c r="P41">
        <f t="shared" si="0"/>
        <v>0</v>
      </c>
    </row>
    <row r="42" spans="1:16" ht="57" thickBot="1" x14ac:dyDescent="0.3">
      <c r="A42" s="2" t="s">
        <v>100</v>
      </c>
      <c r="B42" s="2"/>
      <c r="C42" s="11" t="s">
        <v>101</v>
      </c>
      <c r="D42" s="3" t="s">
        <v>23</v>
      </c>
      <c r="E42" s="4">
        <v>49625</v>
      </c>
      <c r="F42" s="3" t="s">
        <v>16</v>
      </c>
      <c r="G42" s="3" t="s">
        <v>34</v>
      </c>
      <c r="H42" s="5">
        <v>43370</v>
      </c>
      <c r="I42" s="5">
        <v>43370</v>
      </c>
      <c r="J42" s="6">
        <v>0.13900000000000001</v>
      </c>
      <c r="K42" s="6">
        <v>0.34100000000000003</v>
      </c>
      <c r="L42" s="7">
        <v>45200</v>
      </c>
      <c r="M42" s="4">
        <v>148082</v>
      </c>
      <c r="N42" s="4">
        <v>406643</v>
      </c>
      <c r="P42">
        <f t="shared" si="0"/>
        <v>0</v>
      </c>
    </row>
    <row r="43" spans="1:16" ht="57" thickBot="1" x14ac:dyDescent="0.3">
      <c r="A43" s="2" t="s">
        <v>102</v>
      </c>
      <c r="B43" s="2"/>
      <c r="C43" s="11" t="s">
        <v>103</v>
      </c>
      <c r="D43" s="3" t="s">
        <v>15</v>
      </c>
      <c r="E43" s="4">
        <v>49500</v>
      </c>
      <c r="F43" s="3" t="s">
        <v>16</v>
      </c>
      <c r="G43" s="3" t="s">
        <v>34</v>
      </c>
      <c r="H43" s="5">
        <v>42248</v>
      </c>
      <c r="I43" s="5">
        <v>42248</v>
      </c>
      <c r="J43" s="6">
        <v>0.41299999999999998</v>
      </c>
      <c r="K43" s="6">
        <v>0.41399999999999998</v>
      </c>
      <c r="L43" s="7">
        <v>45200</v>
      </c>
      <c r="M43" s="4">
        <v>179630</v>
      </c>
      <c r="N43" s="4">
        <v>314286</v>
      </c>
      <c r="P43">
        <f t="shared" si="0"/>
        <v>0</v>
      </c>
    </row>
    <row r="44" spans="1:16" ht="38.25" thickBot="1" x14ac:dyDescent="0.3">
      <c r="A44" s="2" t="s">
        <v>104</v>
      </c>
      <c r="B44" s="2"/>
      <c r="C44" s="11" t="s">
        <v>105</v>
      </c>
      <c r="D44" s="3" t="s">
        <v>15</v>
      </c>
      <c r="E44" s="4">
        <v>41500</v>
      </c>
      <c r="F44" s="3" t="s">
        <v>16</v>
      </c>
      <c r="G44" s="3" t="s">
        <v>34</v>
      </c>
      <c r="H44" s="5">
        <v>43030</v>
      </c>
      <c r="I44" s="5">
        <v>43030</v>
      </c>
      <c r="J44" s="6">
        <v>0.41699999999999998</v>
      </c>
      <c r="K44" s="6">
        <v>0.40400000000000003</v>
      </c>
      <c r="L44" s="7">
        <v>45200</v>
      </c>
      <c r="M44" s="4">
        <v>146843</v>
      </c>
      <c r="N44" s="4">
        <v>238773</v>
      </c>
      <c r="P44">
        <f t="shared" si="0"/>
        <v>0</v>
      </c>
    </row>
    <row r="45" spans="1:16" ht="57" thickBot="1" x14ac:dyDescent="0.3">
      <c r="A45" s="2" t="s">
        <v>106</v>
      </c>
      <c r="B45" s="2"/>
      <c r="C45" s="11" t="s">
        <v>107</v>
      </c>
      <c r="D45" s="3" t="s">
        <v>23</v>
      </c>
      <c r="E45" s="4">
        <v>30000</v>
      </c>
      <c r="F45" s="3" t="s">
        <v>16</v>
      </c>
      <c r="G45" s="3" t="s">
        <v>34</v>
      </c>
      <c r="H45" s="5">
        <v>43026</v>
      </c>
      <c r="I45" s="5">
        <v>43026</v>
      </c>
      <c r="J45" s="6">
        <v>0.51900000000000002</v>
      </c>
      <c r="K45" s="6">
        <v>0.5</v>
      </c>
      <c r="L45" s="7">
        <v>45170</v>
      </c>
      <c r="M45" s="4">
        <v>131459</v>
      </c>
      <c r="N45" s="4">
        <v>423662</v>
      </c>
      <c r="P45">
        <f t="shared" si="0"/>
        <v>0</v>
      </c>
    </row>
    <row r="46" spans="1:16" ht="38.25" thickBot="1" x14ac:dyDescent="0.3">
      <c r="A46" s="2" t="s">
        <v>108</v>
      </c>
      <c r="B46" s="2"/>
      <c r="C46" s="11" t="s">
        <v>109</v>
      </c>
      <c r="D46" s="3" t="s">
        <v>15</v>
      </c>
      <c r="E46" s="4">
        <v>12400</v>
      </c>
      <c r="F46" s="3" t="s">
        <v>16</v>
      </c>
      <c r="G46" s="3" t="s">
        <v>34</v>
      </c>
      <c r="H46" s="5">
        <v>41512</v>
      </c>
      <c r="I46" s="5">
        <v>41512</v>
      </c>
      <c r="J46" s="6">
        <v>0.27900000000000003</v>
      </c>
      <c r="K46" s="6">
        <v>0.28999999999999998</v>
      </c>
      <c r="L46" s="7">
        <v>45231</v>
      </c>
      <c r="M46" s="4">
        <v>31497</v>
      </c>
      <c r="N46" s="4">
        <v>48693</v>
      </c>
      <c r="P46">
        <f t="shared" si="0"/>
        <v>0</v>
      </c>
    </row>
    <row r="47" spans="1:16" ht="57" thickBot="1" x14ac:dyDescent="0.3">
      <c r="A47" s="2" t="s">
        <v>110</v>
      </c>
      <c r="B47" s="2"/>
      <c r="C47" s="11" t="s">
        <v>111</v>
      </c>
      <c r="D47" s="3" t="s">
        <v>23</v>
      </c>
      <c r="E47" s="4">
        <v>10000</v>
      </c>
      <c r="F47" s="3" t="s">
        <v>16</v>
      </c>
      <c r="G47" s="3" t="s">
        <v>34</v>
      </c>
      <c r="H47" s="5">
        <v>39210</v>
      </c>
      <c r="I47" s="5">
        <v>39210</v>
      </c>
      <c r="J47" s="6">
        <v>0.255</v>
      </c>
      <c r="K47" s="6">
        <v>0.14499999999999999</v>
      </c>
      <c r="L47" s="7">
        <v>42005</v>
      </c>
      <c r="M47" s="4">
        <v>12667</v>
      </c>
      <c r="N47" s="4">
        <v>18976</v>
      </c>
      <c r="P47">
        <f t="shared" si="0"/>
        <v>0</v>
      </c>
    </row>
    <row r="48" spans="1:16" ht="75.75" thickBot="1" x14ac:dyDescent="0.3">
      <c r="A48" s="2" t="s">
        <v>112</v>
      </c>
      <c r="B48" s="2"/>
      <c r="C48" s="11" t="s">
        <v>113</v>
      </c>
      <c r="D48" s="3" t="s">
        <v>23</v>
      </c>
      <c r="E48" s="4">
        <v>7350</v>
      </c>
      <c r="F48" s="3" t="s">
        <v>16</v>
      </c>
      <c r="G48" s="3" t="s">
        <v>34</v>
      </c>
      <c r="H48" s="5">
        <v>41729</v>
      </c>
      <c r="I48" s="5">
        <v>41729</v>
      </c>
      <c r="J48" s="6">
        <v>0.14499999999999999</v>
      </c>
      <c r="K48" s="6">
        <v>0.23699999999999999</v>
      </c>
      <c r="L48" s="7">
        <v>45078</v>
      </c>
      <c r="M48" s="4">
        <v>15273</v>
      </c>
      <c r="N48" s="4">
        <v>30546</v>
      </c>
      <c r="P48">
        <f t="shared" si="0"/>
        <v>0</v>
      </c>
    </row>
    <row r="49" spans="1:16" ht="57" thickBot="1" x14ac:dyDescent="0.3">
      <c r="A49" s="2" t="s">
        <v>114</v>
      </c>
      <c r="B49" s="2"/>
      <c r="C49" s="11" t="s">
        <v>115</v>
      </c>
      <c r="D49" s="3" t="s">
        <v>15</v>
      </c>
      <c r="E49" s="4">
        <v>2000</v>
      </c>
      <c r="F49" s="3" t="s">
        <v>16</v>
      </c>
      <c r="G49" s="3" t="s">
        <v>34</v>
      </c>
      <c r="H49" s="5">
        <v>37347</v>
      </c>
      <c r="I49" s="5">
        <v>36861</v>
      </c>
      <c r="J49" s="6">
        <v>0.11</v>
      </c>
      <c r="K49" s="6">
        <v>0.188</v>
      </c>
      <c r="L49" s="7">
        <v>41487</v>
      </c>
      <c r="M49" s="4">
        <v>3293</v>
      </c>
      <c r="N49" s="4">
        <v>3293</v>
      </c>
      <c r="P49">
        <f t="shared" si="0"/>
        <v>0</v>
      </c>
    </row>
    <row r="50" spans="1:16" ht="38.25" thickBot="1" x14ac:dyDescent="0.3">
      <c r="A50" s="2" t="s">
        <v>116</v>
      </c>
      <c r="B50" s="2"/>
      <c r="C50" s="11" t="s">
        <v>117</v>
      </c>
      <c r="D50" s="3" t="s">
        <v>15</v>
      </c>
      <c r="E50" s="4">
        <v>2000</v>
      </c>
      <c r="F50" s="3" t="s">
        <v>16</v>
      </c>
      <c r="G50" s="3" t="s">
        <v>34</v>
      </c>
      <c r="H50" s="5">
        <v>37347</v>
      </c>
      <c r="I50" s="5">
        <v>36923</v>
      </c>
      <c r="J50" s="6">
        <v>0.12</v>
      </c>
      <c r="K50" s="6">
        <v>0.17100000000000001</v>
      </c>
      <c r="L50" s="7">
        <v>41518</v>
      </c>
      <c r="M50" s="4">
        <v>2991</v>
      </c>
      <c r="N50" s="4">
        <v>2991</v>
      </c>
      <c r="P50">
        <f t="shared" si="0"/>
        <v>0</v>
      </c>
    </row>
  </sheetData>
  <hyperlinks>
    <hyperlink ref="A1" r:id="rId1" display="https://www.ref.org.uk/generators/search.php?TechCode=FW&amp;start=0&amp;dir=asc&amp;order=1"/>
    <hyperlink ref="C1" r:id="rId2" display="https://www.ref.org.uk/generators/search.php?TechCode=FW&amp;start=0&amp;dir=asc&amp;order=4"/>
    <hyperlink ref="D1" r:id="rId3" display="https://www.ref.org.uk/generators/search.php?TechCode=FW&amp;start=0&amp;dir=asc&amp;order=5"/>
    <hyperlink ref="E1" r:id="rId4" display="https://www.ref.org.uk/generators/search.php?TechCode=FW&amp;start=0&amp;dir=asc&amp;order=6"/>
    <hyperlink ref="F1" r:id="rId5" display="https://www.ref.org.uk/generators/search.php?TechCode=FW&amp;start=0&amp;dir=asc&amp;order=7"/>
    <hyperlink ref="G1" r:id="rId6" display="https://www.ref.org.uk/generators/search.php?TechCode=FW&amp;start=0&amp;dir=asc&amp;order=8"/>
    <hyperlink ref="H1" r:id="rId7" display="https://www.ref.org.uk/generators/search.php?TechCode=FW&amp;start=0&amp;dir=asc&amp;order=9"/>
    <hyperlink ref="I1" r:id="rId8" display="https://www.ref.org.uk/generators/search.php?TechCode=FW&amp;start=0&amp;dir=asc&amp;order=10"/>
    <hyperlink ref="J1" r:id="rId9" display="https://www.ref.org.uk/generators/search.php?TechCode=FW&amp;start=0&amp;dir=asc&amp;order=11"/>
    <hyperlink ref="K1" r:id="rId10" display="https://www.ref.org.uk/generators/search.php?TechCode=FW&amp;start=0&amp;dir=asc&amp;order=12"/>
    <hyperlink ref="L1" r:id="rId11" display="https://www.ref.org.uk/generators/search.php?TechCode=FW&amp;start=0&amp;dir=asc&amp;order=13"/>
    <hyperlink ref="M1" r:id="rId12" display="https://www.ref.org.uk/generators/search.php?TechCode=FW&amp;start=0&amp;dir=asc&amp;order=14"/>
    <hyperlink ref="N1" r:id="rId13" display="https://www.ref.org.uk/generators/search.php?TechCode=FW&amp;start=0&amp;dir=asc&amp;order=15"/>
    <hyperlink ref="A2" r:id="rId14" display="https://www.ref.org.uk/generators/view.php?rid=T_HOWBO"/>
    <hyperlink ref="A3" r:id="rId15" display="https://www.ref.org.uk/generators/view.php?rid=HOR"/>
    <hyperlink ref="A4" r:id="rId16" display="https://www.ref.org.uk/generators/view.php?rid=T_SGRWO"/>
    <hyperlink ref="A5" r:id="rId17" display="https://www.ref.org.uk/generators/view.php?rid=T_MOWEO"/>
    <hyperlink ref="A6" r:id="rId18" display="https://www.ref.org.uk/generators/view.php?rid=TKN"/>
    <hyperlink ref="A7" r:id="rId19" display="https://www.ref.org.uk/generators/view.php?rid=EAS"/>
    <hyperlink ref="A8" r:id="rId20" display="https://www.ref.org.uk/generators/view.php?rid=WAL"/>
    <hyperlink ref="A9" r:id="rId21" display="https://www.ref.org.uk/generators/view.php?rid=R00021RPEN"/>
    <hyperlink ref="A10" r:id="rId22" display="https://www.ref.org.uk/generators/view.php?rid=BEA"/>
    <hyperlink ref="A11" r:id="rId23" display="https://www.ref.org.uk/generators/view.php?rid=R00007RPWA"/>
    <hyperlink ref="A12" r:id="rId24" display="https://www.ref.org.uk/generators/view.php?rid=R00032RPEN"/>
    <hyperlink ref="A13" r:id="rId25" display="https://www.ref.org.uk/generators/view.php?rid=R00014RPEN"/>
    <hyperlink ref="A14" r:id="rId26" display="https://www.ref.org.uk/generators/view.php?rid=R00034RPEN"/>
    <hyperlink ref="A15" r:id="rId27" display="https://www.ref.org.uk/generators/view.php?rid=DUD"/>
    <hyperlink ref="A16" r:id="rId28" display="https://www.ref.org.uk/generators/view.php?rid=R00027RPEN"/>
    <hyperlink ref="A17" r:id="rId29" display="https://www.ref.org.uk/generators/view.php?rid=R00031RPEN"/>
    <hyperlink ref="A18" r:id="rId30" display="https://www.ref.org.uk/generators/view.php?rid=R00022RPEN"/>
    <hyperlink ref="A19" r:id="rId31" display="https://www.ref.org.uk/generators/view.php?rid=T_DBAWO"/>
    <hyperlink ref="A20" r:id="rId32" display="https://www.ref.org.uk/generators/view.php?rid=R00015RPEN"/>
    <hyperlink ref="A21" r:id="rId33" display="https://www.ref.org.uk/generators/view.php?rid=R00025RPEN"/>
    <hyperlink ref="A22" r:id="rId34" display="https://www.ref.org.uk/generators/view.php?rid=BUR"/>
    <hyperlink ref="A23" r:id="rId35" display="https://www.ref.org.uk/generators/view.php?rid=R00029RPEN"/>
    <hyperlink ref="A24" r:id="rId36" display="https://www.ref.org.uk/generators/view.php?rid=R00028RPEN"/>
    <hyperlink ref="A25" r:id="rId37" display="https://www.ref.org.uk/generators/view.php?rid=R00019RPEN"/>
    <hyperlink ref="A26" r:id="rId38" display="https://www.ref.org.uk/generators/view.php?rid=R00023RPEN"/>
    <hyperlink ref="A27" r:id="rId39" display="https://www.ref.org.uk/generators/view.php?rid=R00020RPEN"/>
    <hyperlink ref="A28" r:id="rId40" display="https://www.ref.org.uk/generators/view.php?rid=R00012RPEN"/>
    <hyperlink ref="A29" r:id="rId41" display="https://www.ref.org.uk/generators/view.php?rid=R00011RPEN"/>
    <hyperlink ref="A30" r:id="rId42" display="https://www.ref.org.uk/generators/view.php?rid=R00010RPEN"/>
    <hyperlink ref="A31" r:id="rId43" display="https://www.ref.org.uk/generators/view.php?rid=R00002DTSC"/>
    <hyperlink ref="A32" r:id="rId44" display="https://www.ref.org.uk/generators/view.php?rid=R00006RPEN"/>
    <hyperlink ref="A33" r:id="rId45" display="https://www.ref.org.uk/generators/view.php?rid=R00002SPSC"/>
    <hyperlink ref="A34" r:id="rId46" display="https://www.ref.org.uk/generators/view.php?rid=R00005RPWA"/>
    <hyperlink ref="A35" r:id="rId47" display="https://www.ref.org.uk/generators/view.php?rid=R00008RPEN"/>
    <hyperlink ref="A36" r:id="rId48" display="https://www.ref.org.uk/generators/view.php?rid=R00003SPSC"/>
    <hyperlink ref="A37" r:id="rId49" display="https://www.ref.org.uk/generators/view.php?rid=R00007RPEN"/>
    <hyperlink ref="A38" r:id="rId50" display="https://www.ref.org.uk/generators/view.php?rid=R00013RPEN"/>
    <hyperlink ref="A39" r:id="rId51" display="https://www.ref.org.uk/generators/view.php?rid=R00024RPEN"/>
    <hyperlink ref="A40" r:id="rId52" display="https://www.ref.org.uk/generators/view.php?rid=R00005RPEN"/>
    <hyperlink ref="A41" r:id="rId53" display="https://www.ref.org.uk/generators/view.php?rid=R00004RPWA"/>
    <hyperlink ref="A42" r:id="rId54" display="https://www.ref.org.uk/generators/view.php?rid=R00003FTSC"/>
    <hyperlink ref="A43" r:id="rId55" display="https://www.ref.org.uk/generators/view.php?rid=R00030RPEN"/>
    <hyperlink ref="A44" r:id="rId56" display="https://www.ref.org.uk/generators/view.php?rid=R00033RPEN"/>
    <hyperlink ref="A45" r:id="rId57" display="https://www.ref.org.uk/generators/view.php?rid=R00001FTSC"/>
    <hyperlink ref="A46" r:id="rId58" display="https://www.ref.org.uk/generators/view.php?rid=R00026RPEN"/>
    <hyperlink ref="A47" r:id="rId59" display="https://www.ref.org.uk/generators/view.php?rid=R00001SPSC"/>
    <hyperlink ref="A48" r:id="rId60" display="https://www.ref.org.uk/generators/view.php?rid=R00004SPSC"/>
    <hyperlink ref="A49" r:id="rId61" display="https://www.ref.org.uk/generators/view.php?rid=R00002RPEN"/>
    <hyperlink ref="A50" r:id="rId62" display="https://www.ref.org.uk/generators/view.php?rid=R00001RPEN"/>
  </hyperlinks>
  <pageMargins left="0.7" right="0.7" top="0.75" bottom="0.75" header="0.3" footer="0.3"/>
  <pageSetup orientation="portrait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Diarmid Roberts</dc:creator>
  <cp:lastModifiedBy>Diarmid Roberts</cp:lastModifiedBy>
  <dcterms:created xsi:type="dcterms:W3CDTF">2024-02-05T16:15:39Z</dcterms:created>
  <dcterms:modified xsi:type="dcterms:W3CDTF">2024-02-12T12:55:38Z</dcterms:modified>
</cp:coreProperties>
</file>